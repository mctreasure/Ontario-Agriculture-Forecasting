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24226"/>
  <mc:AlternateContent xmlns:mc="http://schemas.openxmlformats.org/markup-compatibility/2006">
    <mc:Choice Requires="x15">
      <x15ac:absPath xmlns:x15ac="http://schemas.microsoft.com/office/spreadsheetml/2010/11/ac" url="https://ontariogov-my.sharepoint.com/personal/stephen_duff_ontario_ca/Documents/Documents/Senior Economist/Statistics/OMAFRA/Website/"/>
    </mc:Choice>
  </mc:AlternateContent>
  <xr:revisionPtr revIDLastSave="55" documentId="8_{9F28DB45-A26F-4549-AFA6-B5DADF5DF181}" xr6:coauthVersionLast="47" xr6:coauthVersionMax="47" xr10:uidLastSave="{41CF49FE-4186-406A-884E-087BB671AB00}"/>
  <bookViews>
    <workbookView xWindow="-120" yWindow="-120" windowWidth="20730" windowHeight="11160" xr2:uid="{00000000-000D-0000-FFFF-FFFF00000000}"/>
  </bookViews>
  <sheets>
    <sheet name="2024E" sheetId="23" r:id="rId1"/>
    <sheet name="2023E" sheetId="22" r:id="rId2"/>
    <sheet name="2022E" sheetId="21" r:id="rId3"/>
    <sheet name="2021E" sheetId="20" r:id="rId4"/>
    <sheet name="2020E" sheetId="19" r:id="rId5"/>
    <sheet name="2019E" sheetId="18" r:id="rId6"/>
    <sheet name="2018E" sheetId="1" r:id="rId7"/>
    <sheet name="2017E" sheetId="3" r:id="rId8"/>
    <sheet name="2016E" sheetId="4" r:id="rId9"/>
    <sheet name="2015E" sheetId="5" r:id="rId10"/>
    <sheet name="2014E" sheetId="6" r:id="rId11"/>
    <sheet name="2013E" sheetId="7" r:id="rId12"/>
    <sheet name="2012E" sheetId="8" r:id="rId13"/>
    <sheet name="2011E" sheetId="9" r:id="rId14"/>
    <sheet name="2010E" sheetId="10" r:id="rId15"/>
    <sheet name="2009E" sheetId="11" r:id="rId16"/>
    <sheet name="2008E" sheetId="13" r:id="rId17"/>
    <sheet name="2007E" sheetId="14" r:id="rId18"/>
    <sheet name="2006E" sheetId="15" r:id="rId19"/>
    <sheet name="2005E" sheetId="16" r:id="rId20"/>
    <sheet name="2004E" sheetId="17" r:id="rId21"/>
  </sheets>
  <externalReferences>
    <externalReference r:id="rId22"/>
  </externalReferences>
  <definedNames>
    <definedName name="HTML_CodePage" hidden="1">1252</definedName>
    <definedName name="HTML_Control" hidden="1">{"'B'!$A$5:$F$66"}</definedName>
    <definedName name="HTML_Description" hidden="1">""</definedName>
    <definedName name="HTML_Email" hidden="1">""</definedName>
    <definedName name="HTML_Header" hidden="1">"A"</definedName>
    <definedName name="HTML_LastUpdate" hidden="1">"5/22/01"</definedName>
    <definedName name="HTML_LineAfter" hidden="1">FALSE</definedName>
    <definedName name="HTML_LineBefore" hidden="1">FALSE</definedName>
    <definedName name="HTML_Name" hidden="1">"Gavin Lawson"</definedName>
    <definedName name="HTML_OBDlg2" hidden="1">TRUE</definedName>
    <definedName name="HTML_OBDlg4" hidden="1">TRUE</definedName>
    <definedName name="HTML_OS" hidden="1">0</definedName>
    <definedName name="HTML_PathFile" hidden="1">"M:\STATS\Omafra\french\stats\crops\1soybean.htm"</definedName>
    <definedName name="HTML_Title" hidden="1">"Soy00AP"</definedName>
    <definedName name="_xlnm.Print_Area" localSheetId="6">'2018E'!$A$2:$F$62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7" i="18" l="1"/>
  <c r="F56" i="18"/>
  <c r="F55" i="18"/>
  <c r="F54" i="18"/>
  <c r="F53" i="18"/>
  <c r="F52" i="18"/>
  <c r="F51" i="18"/>
  <c r="F50" i="18"/>
  <c r="F49" i="18"/>
  <c r="F48" i="18"/>
  <c r="F47" i="18"/>
  <c r="F46" i="18"/>
  <c r="F45" i="18"/>
  <c r="F44" i="18"/>
  <c r="F43" i="18"/>
  <c r="F42" i="18"/>
  <c r="F41" i="18"/>
  <c r="F40" i="18"/>
  <c r="F39" i="18"/>
  <c r="F38" i="18"/>
  <c r="F37" i="18"/>
  <c r="F36" i="18"/>
  <c r="F35" i="18"/>
  <c r="F34" i="18"/>
  <c r="F33" i="18"/>
  <c r="F32" i="18"/>
  <c r="F31" i="18"/>
  <c r="F30" i="18"/>
  <c r="F29" i="18"/>
  <c r="F28" i="18"/>
  <c r="F27" i="18"/>
  <c r="F26" i="18"/>
  <c r="F25" i="18"/>
  <c r="F24" i="18"/>
  <c r="F23" i="18"/>
  <c r="F22" i="18"/>
  <c r="F21" i="18"/>
  <c r="F20" i="18"/>
  <c r="F19" i="18"/>
  <c r="F18" i="18"/>
  <c r="F17" i="18"/>
  <c r="F16" i="18"/>
  <c r="F15" i="18"/>
  <c r="F14" i="18"/>
  <c r="F13" i="18"/>
  <c r="F12" i="18"/>
  <c r="F11" i="18"/>
  <c r="F10" i="18"/>
  <c r="F9" i="18"/>
  <c r="F8" i="18"/>
  <c r="F7" i="18"/>
  <c r="F6" i="18"/>
  <c r="F5" i="18"/>
  <c r="F4" i="18"/>
  <c r="F56" i="17" l="1"/>
  <c r="E56" i="17"/>
  <c r="D56" i="17"/>
  <c r="C56" i="17"/>
  <c r="B56" i="17"/>
  <c r="F55" i="17"/>
  <c r="E55" i="17"/>
  <c r="D55" i="17"/>
  <c r="C55" i="17"/>
  <c r="B55" i="17"/>
  <c r="F54" i="17"/>
  <c r="E54" i="17"/>
  <c r="D54" i="17"/>
  <c r="C54" i="17"/>
  <c r="B54" i="17"/>
  <c r="F53" i="17"/>
  <c r="E53" i="17"/>
  <c r="D53" i="17"/>
  <c r="C53" i="17"/>
  <c r="B53" i="17"/>
  <c r="F52" i="17"/>
  <c r="E52" i="17"/>
  <c r="D52" i="17"/>
  <c r="C52" i="17"/>
  <c r="B52" i="17"/>
  <c r="F51" i="17"/>
  <c r="E51" i="17"/>
  <c r="D51" i="17"/>
  <c r="C51" i="17"/>
  <c r="B51" i="17"/>
  <c r="F50" i="17"/>
  <c r="E50" i="17"/>
  <c r="D50" i="17"/>
  <c r="C50" i="17"/>
  <c r="B50" i="17"/>
  <c r="F49" i="17"/>
  <c r="E49" i="17"/>
  <c r="D49" i="17"/>
  <c r="C49" i="17"/>
  <c r="B49" i="17"/>
  <c r="F48" i="17"/>
  <c r="E48" i="17"/>
  <c r="D48" i="17"/>
  <c r="C48" i="17"/>
  <c r="B48" i="17"/>
  <c r="F47" i="17"/>
  <c r="E47" i="17"/>
  <c r="D47" i="17"/>
  <c r="C47" i="17"/>
  <c r="B47" i="17"/>
  <c r="F46" i="17"/>
  <c r="E46" i="17"/>
  <c r="D46" i="17"/>
  <c r="C46" i="17"/>
  <c r="B46" i="17"/>
  <c r="F45" i="17"/>
  <c r="E45" i="17"/>
  <c r="D45" i="17"/>
  <c r="C45" i="17"/>
  <c r="B45" i="17"/>
  <c r="F44" i="17"/>
  <c r="E44" i="17"/>
  <c r="D44" i="17"/>
  <c r="C44" i="17"/>
  <c r="B44" i="17"/>
  <c r="F43" i="17"/>
  <c r="E43" i="17"/>
  <c r="D43" i="17"/>
  <c r="C43" i="17"/>
  <c r="B43" i="17"/>
  <c r="F42" i="17"/>
  <c r="E42" i="17"/>
  <c r="D42" i="17"/>
  <c r="C42" i="17"/>
  <c r="B42" i="17"/>
  <c r="F41" i="17"/>
  <c r="E41" i="17"/>
  <c r="D41" i="17"/>
  <c r="C41" i="17"/>
  <c r="B41" i="17"/>
  <c r="F40" i="17"/>
  <c r="E40" i="17"/>
  <c r="D40" i="17"/>
  <c r="C40" i="17"/>
  <c r="B40" i="17"/>
  <c r="F39" i="17"/>
  <c r="E39" i="17"/>
  <c r="D39" i="17"/>
  <c r="C39" i="17"/>
  <c r="B39" i="17"/>
  <c r="F38" i="17"/>
  <c r="E38" i="17"/>
  <c r="D38" i="17"/>
  <c r="C38" i="17"/>
  <c r="B38" i="17"/>
  <c r="F37" i="17"/>
  <c r="E37" i="17"/>
  <c r="D37" i="17"/>
  <c r="C37" i="17"/>
  <c r="B37" i="17"/>
  <c r="F36" i="17"/>
  <c r="E36" i="17"/>
  <c r="D36" i="17"/>
  <c r="C36" i="17"/>
  <c r="B36" i="17"/>
  <c r="F35" i="17"/>
  <c r="E35" i="17"/>
  <c r="D35" i="17"/>
  <c r="C35" i="17"/>
  <c r="B35" i="17"/>
  <c r="F34" i="17"/>
  <c r="E34" i="17"/>
  <c r="D34" i="17"/>
  <c r="C34" i="17"/>
  <c r="B34" i="17"/>
  <c r="F33" i="17"/>
  <c r="E33" i="17"/>
  <c r="D33" i="17"/>
  <c r="C33" i="17"/>
  <c r="B33" i="17"/>
  <c r="F32" i="17"/>
  <c r="E32" i="17"/>
  <c r="D32" i="17"/>
  <c r="C32" i="17"/>
  <c r="B32" i="17"/>
  <c r="F31" i="17"/>
  <c r="E31" i="17"/>
  <c r="D31" i="17"/>
  <c r="C31" i="17"/>
  <c r="B31" i="17"/>
  <c r="F30" i="17"/>
  <c r="E30" i="17"/>
  <c r="D30" i="17"/>
  <c r="C30" i="17"/>
  <c r="B30" i="17"/>
  <c r="F29" i="17"/>
  <c r="E29" i="17"/>
  <c r="D29" i="17"/>
  <c r="C29" i="17"/>
  <c r="B29" i="17"/>
  <c r="F28" i="17"/>
  <c r="E28" i="17"/>
  <c r="D28" i="17"/>
  <c r="C28" i="17"/>
  <c r="B28" i="17"/>
  <c r="F27" i="17"/>
  <c r="E27" i="17"/>
  <c r="D27" i="17"/>
  <c r="C27" i="17"/>
  <c r="B27" i="17"/>
  <c r="F26" i="17"/>
  <c r="E26" i="17"/>
  <c r="D26" i="17"/>
  <c r="C26" i="17"/>
  <c r="B26" i="17"/>
  <c r="F25" i="17"/>
  <c r="E25" i="17"/>
  <c r="D25" i="17"/>
  <c r="C25" i="17"/>
  <c r="B25" i="17"/>
  <c r="F24" i="17"/>
  <c r="E24" i="17"/>
  <c r="D24" i="17"/>
  <c r="C24" i="17"/>
  <c r="B24" i="17"/>
  <c r="F23" i="17"/>
  <c r="E23" i="17"/>
  <c r="D23" i="17"/>
  <c r="C23" i="17"/>
  <c r="B23" i="17"/>
  <c r="F22" i="17"/>
  <c r="E22" i="17"/>
  <c r="D22" i="17"/>
  <c r="C22" i="17"/>
  <c r="B22" i="17"/>
  <c r="F21" i="17"/>
  <c r="E21" i="17"/>
  <c r="D21" i="17"/>
  <c r="C21" i="17"/>
  <c r="B21" i="17"/>
  <c r="F20" i="17"/>
  <c r="E20" i="17"/>
  <c r="D20" i="17"/>
  <c r="C20" i="17"/>
  <c r="B20" i="17"/>
  <c r="F19" i="17"/>
  <c r="E19" i="17"/>
  <c r="D19" i="17"/>
  <c r="C19" i="17"/>
  <c r="B19" i="17"/>
  <c r="F18" i="17"/>
  <c r="E18" i="17"/>
  <c r="D18" i="17"/>
  <c r="C18" i="17"/>
  <c r="B18" i="17"/>
  <c r="F17" i="17"/>
  <c r="E17" i="17"/>
  <c r="D17" i="17"/>
  <c r="C17" i="17"/>
  <c r="B17" i="17"/>
  <c r="F16" i="17"/>
  <c r="E16" i="17"/>
  <c r="D16" i="17"/>
  <c r="C16" i="17"/>
  <c r="B16" i="17"/>
  <c r="F15" i="17"/>
  <c r="E15" i="17"/>
  <c r="D15" i="17"/>
  <c r="C15" i="17"/>
  <c r="B15" i="17"/>
  <c r="F14" i="17"/>
  <c r="E14" i="17"/>
  <c r="D14" i="17"/>
  <c r="C14" i="17"/>
  <c r="B14" i="17"/>
  <c r="F13" i="17"/>
  <c r="E13" i="17"/>
  <c r="D13" i="17"/>
  <c r="C13" i="17"/>
  <c r="B13" i="17"/>
  <c r="F12" i="17"/>
  <c r="E12" i="17"/>
  <c r="D12" i="17"/>
  <c r="C12" i="17"/>
  <c r="B12" i="17"/>
  <c r="F11" i="17"/>
  <c r="E11" i="17"/>
  <c r="D11" i="17"/>
  <c r="C11" i="17"/>
  <c r="B11" i="17"/>
  <c r="F10" i="17"/>
  <c r="E10" i="17"/>
  <c r="D10" i="17"/>
  <c r="C10" i="17"/>
  <c r="B10" i="17"/>
  <c r="F9" i="17"/>
  <c r="E9" i="17"/>
  <c r="D9" i="17"/>
  <c r="C9" i="17"/>
  <c r="B9" i="17"/>
  <c r="F8" i="17"/>
  <c r="E8" i="17"/>
  <c r="D8" i="17"/>
  <c r="C8" i="17"/>
  <c r="B8" i="17"/>
  <c r="F7" i="17"/>
  <c r="E7" i="17"/>
  <c r="D7" i="17"/>
  <c r="C7" i="17"/>
  <c r="B7" i="17"/>
  <c r="F6" i="17"/>
  <c r="E6" i="17"/>
  <c r="D6" i="17"/>
  <c r="C6" i="17"/>
  <c r="B6" i="17"/>
  <c r="F5" i="17"/>
  <c r="E5" i="17"/>
  <c r="D5" i="17"/>
  <c r="C5" i="17"/>
  <c r="B5" i="17"/>
  <c r="F4" i="17"/>
  <c r="E4" i="17"/>
  <c r="D4" i="17"/>
  <c r="C4" i="17"/>
  <c r="B4" i="17"/>
  <c r="F3" i="17"/>
  <c r="E3" i="17"/>
  <c r="D3" i="17"/>
  <c r="C3" i="17"/>
  <c r="B3" i="17"/>
  <c r="F56" i="11"/>
  <c r="F55" i="11"/>
  <c r="F44" i="11"/>
  <c r="F43" i="11"/>
  <c r="F42" i="11"/>
  <c r="F41" i="11"/>
  <c r="F40" i="11"/>
  <c r="F39" i="11"/>
  <c r="F38" i="11"/>
  <c r="F37" i="11"/>
  <c r="F36" i="11"/>
  <c r="F35" i="11"/>
  <c r="F34" i="11"/>
  <c r="F33" i="11"/>
  <c r="F32" i="11"/>
  <c r="F30" i="11"/>
  <c r="F28" i="11"/>
  <c r="F27" i="11"/>
  <c r="F25" i="11"/>
  <c r="F24" i="11"/>
  <c r="F23" i="11"/>
  <c r="F22" i="11"/>
  <c r="F21" i="11"/>
  <c r="F20" i="11"/>
  <c r="F19" i="11"/>
  <c r="F18" i="11"/>
  <c r="F17" i="11"/>
  <c r="F16" i="11"/>
  <c r="F15" i="11"/>
  <c r="F14" i="11"/>
  <c r="F13" i="11"/>
  <c r="F12" i="11"/>
  <c r="F11" i="11"/>
  <c r="F10" i="11"/>
  <c r="F9" i="11"/>
  <c r="F8" i="11"/>
  <c r="F7" i="11"/>
  <c r="F6" i="11"/>
  <c r="F5" i="11"/>
  <c r="F4" i="11"/>
  <c r="F3" i="11"/>
  <c r="F56" i="10" l="1"/>
  <c r="F55" i="10"/>
  <c r="F44" i="10"/>
  <c r="F43" i="10"/>
  <c r="F42" i="10"/>
  <c r="F41" i="10"/>
  <c r="F40" i="10"/>
  <c r="F39" i="10"/>
  <c r="F38" i="10"/>
  <c r="F37" i="10"/>
  <c r="F36" i="10"/>
  <c r="F35" i="10"/>
  <c r="F34" i="10"/>
  <c r="F33" i="10"/>
  <c r="F32" i="10"/>
  <c r="F30" i="10"/>
  <c r="F28" i="10"/>
  <c r="F27" i="10"/>
  <c r="F25" i="10"/>
  <c r="F24" i="10"/>
  <c r="F23" i="10"/>
  <c r="F22" i="10"/>
  <c r="F21" i="10"/>
  <c r="F20" i="10"/>
  <c r="F19" i="10"/>
  <c r="F18" i="10"/>
  <c r="F17" i="10"/>
  <c r="F16" i="10"/>
  <c r="F15" i="10"/>
  <c r="F14" i="10"/>
  <c r="F13" i="10"/>
  <c r="F12" i="10"/>
  <c r="F11" i="10"/>
  <c r="F10" i="10"/>
  <c r="F9" i="10"/>
  <c r="F8" i="10"/>
  <c r="F7" i="10"/>
  <c r="F6" i="10"/>
  <c r="F5" i="10"/>
  <c r="F4" i="10"/>
  <c r="F3" i="10"/>
  <c r="F56" i="9"/>
  <c r="F55" i="9"/>
  <c r="F44" i="9"/>
  <c r="F43" i="9"/>
  <c r="F42" i="9"/>
  <c r="F41" i="9"/>
  <c r="F40" i="9"/>
  <c r="F39" i="9"/>
  <c r="F38" i="9"/>
  <c r="F37" i="9"/>
  <c r="F36" i="9"/>
  <c r="F35" i="9"/>
  <c r="F34" i="9"/>
  <c r="F33" i="9"/>
  <c r="F32" i="9"/>
  <c r="F30" i="9"/>
  <c r="F28" i="9"/>
  <c r="F27" i="9"/>
  <c r="F25" i="9"/>
  <c r="F24" i="9"/>
  <c r="F23" i="9"/>
  <c r="F22" i="9"/>
  <c r="F21" i="9"/>
  <c r="F20" i="9"/>
  <c r="F19" i="9"/>
  <c r="F18" i="9"/>
  <c r="F17" i="9"/>
  <c r="F16" i="9"/>
  <c r="F15" i="9"/>
  <c r="F14" i="9"/>
  <c r="F13" i="9"/>
  <c r="F12" i="9"/>
  <c r="F11" i="9"/>
  <c r="F10" i="9"/>
  <c r="F9" i="9"/>
  <c r="F8" i="9"/>
  <c r="F7" i="9"/>
  <c r="F6" i="9"/>
  <c r="F5" i="9"/>
  <c r="F4" i="9"/>
  <c r="F3" i="9"/>
  <c r="D50" i="8"/>
  <c r="D49" i="8"/>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4" i="7"/>
  <c r="F3" i="7"/>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E56" i="5"/>
  <c r="F56" i="5" s="1"/>
  <c r="E55" i="5"/>
  <c r="F55" i="5" s="1"/>
  <c r="E54" i="5"/>
  <c r="F54" i="5" s="1"/>
  <c r="E53" i="5"/>
  <c r="F53" i="5" s="1"/>
  <c r="F52" i="5"/>
  <c r="F51" i="5"/>
  <c r="E50" i="5"/>
  <c r="F50" i="5" s="1"/>
  <c r="F49" i="5"/>
  <c r="E49" i="5"/>
  <c r="F48" i="5"/>
  <c r="E47" i="5"/>
  <c r="F47" i="5" s="1"/>
  <c r="F46" i="5"/>
  <c r="E45" i="5"/>
  <c r="F45" i="5" s="1"/>
  <c r="E44" i="5"/>
  <c r="F44" i="5" s="1"/>
  <c r="E43" i="5"/>
  <c r="F43" i="5" s="1"/>
  <c r="E42" i="5"/>
  <c r="F42" i="5" s="1"/>
  <c r="E41" i="5"/>
  <c r="F41" i="5" s="1"/>
  <c r="F40" i="5"/>
  <c r="E40" i="5"/>
  <c r="E39" i="5"/>
  <c r="F39" i="5" s="1"/>
  <c r="E38" i="5"/>
  <c r="F38" i="5" s="1"/>
  <c r="E37" i="5"/>
  <c r="F37" i="5" s="1"/>
  <c r="F36" i="5"/>
  <c r="E36" i="5"/>
  <c r="E35" i="5"/>
  <c r="F35" i="5" s="1"/>
  <c r="E34" i="5"/>
  <c r="F34" i="5" s="1"/>
  <c r="E33" i="5"/>
  <c r="F33" i="5" s="1"/>
  <c r="E32" i="5"/>
  <c r="F32" i="5" s="1"/>
  <c r="F31" i="5"/>
  <c r="E30" i="5"/>
  <c r="F30" i="5" s="1"/>
  <c r="F29" i="5"/>
  <c r="E28" i="5"/>
  <c r="F28" i="5" s="1"/>
  <c r="F27" i="5"/>
  <c r="F26" i="5"/>
  <c r="E25" i="5"/>
  <c r="F25" i="5" s="1"/>
  <c r="E24" i="5"/>
  <c r="F24" i="5" s="1"/>
  <c r="E23" i="5"/>
  <c r="F23" i="5" s="1"/>
  <c r="F22" i="5"/>
  <c r="E22" i="5"/>
  <c r="E21" i="5"/>
  <c r="F21" i="5" s="1"/>
  <c r="E20" i="5"/>
  <c r="F20" i="5" s="1"/>
  <c r="E19" i="5"/>
  <c r="F19" i="5" s="1"/>
  <c r="E18" i="5"/>
  <c r="F18" i="5" s="1"/>
  <c r="E17" i="5"/>
  <c r="F17" i="5" s="1"/>
  <c r="E16" i="5"/>
  <c r="F16" i="5" s="1"/>
  <c r="E15" i="5"/>
  <c r="F15" i="5" s="1"/>
  <c r="E14" i="5"/>
  <c r="F14" i="5" s="1"/>
  <c r="E13" i="5"/>
  <c r="F13" i="5" s="1"/>
  <c r="E12" i="5"/>
  <c r="F12" i="5" s="1"/>
  <c r="E11" i="5"/>
  <c r="F11" i="5" s="1"/>
  <c r="F10" i="5"/>
  <c r="E10" i="5"/>
  <c r="E9" i="5"/>
  <c r="F9" i="5" s="1"/>
  <c r="E8" i="5"/>
  <c r="F8" i="5" s="1"/>
  <c r="E7" i="5"/>
  <c r="F7" i="5" s="1"/>
  <c r="F6" i="5"/>
  <c r="E6" i="5"/>
  <c r="E5" i="5"/>
  <c r="F5" i="5" s="1"/>
  <c r="E4" i="5"/>
  <c r="F4" i="5" s="1"/>
  <c r="E3" i="5"/>
  <c r="F3" i="5" s="1"/>
  <c r="F56" i="3" l="1"/>
  <c r="E55" i="3"/>
  <c r="F55" i="3" s="1"/>
  <c r="C55" i="3"/>
  <c r="B55" i="3"/>
  <c r="F54" i="3"/>
  <c r="F53" i="3"/>
  <c r="F52" i="3"/>
  <c r="F51" i="3"/>
  <c r="F50" i="3"/>
  <c r="F49" i="3"/>
  <c r="F48" i="3"/>
  <c r="F47" i="3"/>
  <c r="F46" i="3"/>
  <c r="F45" i="3"/>
  <c r="E44" i="3"/>
  <c r="F44" i="3" s="1"/>
  <c r="C44" i="3"/>
  <c r="B44" i="3"/>
  <c r="F43" i="3"/>
  <c r="F42" i="3"/>
  <c r="F41" i="3"/>
  <c r="F40" i="3"/>
  <c r="F39" i="3"/>
  <c r="F38" i="3"/>
  <c r="F37" i="3"/>
  <c r="F36" i="3"/>
  <c r="E35" i="3"/>
  <c r="F35" i="3" s="1"/>
  <c r="C35" i="3"/>
  <c r="B35" i="3"/>
  <c r="F34" i="3"/>
  <c r="F33" i="3"/>
  <c r="F32" i="3"/>
  <c r="F31" i="3"/>
  <c r="F30" i="3"/>
  <c r="F29" i="3"/>
  <c r="F28" i="3"/>
  <c r="F27" i="3"/>
  <c r="F26" i="3"/>
  <c r="F25" i="3"/>
  <c r="E24" i="3"/>
  <c r="F24" i="3" s="1"/>
  <c r="C24" i="3"/>
  <c r="B24" i="3"/>
  <c r="F23" i="3"/>
  <c r="F22" i="3"/>
  <c r="F21" i="3"/>
  <c r="F20" i="3"/>
  <c r="F19" i="3"/>
  <c r="F18" i="3"/>
  <c r="F17" i="3"/>
  <c r="F16" i="3"/>
  <c r="F15" i="3"/>
  <c r="F14" i="3"/>
  <c r="E13" i="3"/>
  <c r="F13" i="3" s="1"/>
  <c r="C13" i="3"/>
  <c r="B13" i="3"/>
  <c r="F12" i="3"/>
  <c r="F11" i="3"/>
  <c r="F10" i="3"/>
  <c r="F9" i="3"/>
  <c r="F8" i="3"/>
  <c r="F7" i="3"/>
  <c r="F6" i="3"/>
  <c r="F5" i="3"/>
  <c r="F4" i="3"/>
  <c r="F3" i="3"/>
  <c r="F51" i="1" l="1"/>
  <c r="F50" i="1"/>
</calcChain>
</file>

<file path=xl/sharedStrings.xml><?xml version="1.0" encoding="utf-8"?>
<sst xmlns="http://schemas.openxmlformats.org/spreadsheetml/2006/main" count="1809" uniqueCount="166">
  <si>
    <t>Ontario</t>
  </si>
  <si>
    <t>Production ('000 bu)</t>
  </si>
  <si>
    <t>Production ('000 tonnes)</t>
  </si>
  <si>
    <t>Yield (bushels/acre)</t>
  </si>
  <si>
    <t>Brant</t>
  </si>
  <si>
    <t>Chatham-Kent</t>
  </si>
  <si>
    <t>Elgin</t>
  </si>
  <si>
    <t>Essex</t>
  </si>
  <si>
    <t>Haldimand-Norfolk</t>
  </si>
  <si>
    <t>Hamilton</t>
  </si>
  <si>
    <t>Lambton</t>
  </si>
  <si>
    <t>Middlesex</t>
  </si>
  <si>
    <t>Niagara</t>
  </si>
  <si>
    <t>Oxford</t>
  </si>
  <si>
    <t>Southern Ontario</t>
  </si>
  <si>
    <t>Bruce</t>
  </si>
  <si>
    <t>Dufferin</t>
  </si>
  <si>
    <t>Grey</t>
  </si>
  <si>
    <t>Halton</t>
  </si>
  <si>
    <t>Huron</t>
  </si>
  <si>
    <t>Peel</t>
  </si>
  <si>
    <t>Perth</t>
  </si>
  <si>
    <t>Simcoe</t>
  </si>
  <si>
    <t>Waterloo</t>
  </si>
  <si>
    <t>Wellington</t>
  </si>
  <si>
    <t>Western Ontario</t>
  </si>
  <si>
    <t>Durham</t>
  </si>
  <si>
    <t>Haliburton</t>
  </si>
  <si>
    <t>Hastings</t>
  </si>
  <si>
    <t>Kawartha Lakes</t>
  </si>
  <si>
    <t>Muskoka</t>
  </si>
  <si>
    <t>Northumberland</t>
  </si>
  <si>
    <t>Parry Sound</t>
  </si>
  <si>
    <t>Peterborough</t>
  </si>
  <si>
    <t>Prince Edward</t>
  </si>
  <si>
    <t>York</t>
  </si>
  <si>
    <t>Central Ontario</t>
  </si>
  <si>
    <t>Frontenac</t>
  </si>
  <si>
    <t>Lanark</t>
  </si>
  <si>
    <t>Leeds and Grenville</t>
  </si>
  <si>
    <t>Lennox and Addington</t>
  </si>
  <si>
    <t>Ottawa</t>
  </si>
  <si>
    <t>Prescott and Russell</t>
  </si>
  <si>
    <t>Renfrew</t>
  </si>
  <si>
    <t>Stormont, Dundas and Glengarry</t>
  </si>
  <si>
    <t>Eastern Ontario</t>
  </si>
  <si>
    <t>Algoma</t>
  </si>
  <si>
    <t>Cochrane</t>
  </si>
  <si>
    <t>Greater Sudbury</t>
  </si>
  <si>
    <t>Kenora</t>
  </si>
  <si>
    <t>Manitoulin</t>
  </si>
  <si>
    <t>Nipissing</t>
  </si>
  <si>
    <t>Rainy River</t>
  </si>
  <si>
    <t>Sudbury</t>
  </si>
  <si>
    <t>Thunder Bay</t>
  </si>
  <si>
    <t>Timiskaming</t>
  </si>
  <si>
    <t>Northern Ontario</t>
  </si>
  <si>
    <t xml:space="preserve">Acres harvested </t>
  </si>
  <si>
    <t>Note: Please note that the figures above are estimates primarily derived from a probability survey conducted by Statistics Canada, in conjunction with other administrative data sources. The probability survey is designed to produce accurate field crop area and yield information for the province as a whole. However, the accuracy of county and district estimates may suffer, particularly when the level of farming activity in a given area is relatively small. Thus, a measure of caution is advised when using sub-provincial estimates.</t>
  </si>
  <si>
    <t>Acres seeded</t>
  </si>
  <si>
    <r>
      <t>Reference:</t>
    </r>
    <r>
      <rPr>
        <sz val="11"/>
        <rFont val="Arial"/>
        <family val="2"/>
      </rPr>
      <t xml:space="preserve"> OMAFRA calculations adapted from Statistics Canada</t>
    </r>
  </si>
  <si>
    <t>Soybeans: Area and Production, by County, 2018</t>
  </si>
  <si>
    <t>28/02/2019</t>
  </si>
  <si>
    <t>x</t>
  </si>
  <si>
    <t>Soybeans: Area and Production, by County, 2017</t>
  </si>
  <si>
    <t>-</t>
  </si>
  <si>
    <t>24/08/2018</t>
  </si>
  <si>
    <t>Soybeans: Area and Production, by County, 2016</t>
  </si>
  <si>
    <t>Reference: Statistics Canada: Field Crop Reporting Series</t>
  </si>
  <si>
    <t>20 Feb 2017</t>
  </si>
  <si>
    <t>Soy: Area and Production, by County, 2015</t>
  </si>
  <si>
    <t xml:space="preserve">Acres seeded </t>
  </si>
  <si>
    <t>Acres harvested</t>
  </si>
  <si>
    <t>Yield (cwt/ac)</t>
  </si>
  <si>
    <t>Production ('000 cwt)</t>
  </si>
  <si>
    <t xml:space="preserve"> </t>
  </si>
  <si>
    <r>
      <t>Reference:</t>
    </r>
    <r>
      <rPr>
        <sz val="11"/>
        <rFont val="Arial"/>
        <family val="2"/>
      </rPr>
      <t xml:space="preserve"> Statistics Canada: Field Crop Reporting Series</t>
    </r>
  </si>
  <si>
    <t>Soybeans: Area and Production, by County, 2014</t>
  </si>
  <si>
    <t>3 Feb 2016</t>
  </si>
  <si>
    <t>Soybeans: Area and Production, by County, 2013</t>
  </si>
  <si>
    <t>08  Jul 2014</t>
  </si>
  <si>
    <t>Soybeans: Area and Production, by County, 2012</t>
  </si>
  <si>
    <t>,07/05/2013</t>
  </si>
  <si>
    <t>Soybeans: Area and Production, by County, 2011</t>
  </si>
  <si>
    <t>Acres seeded(a)</t>
  </si>
  <si>
    <t>X</t>
  </si>
  <si>
    <t>(a) Census of Agriculture 2011</t>
  </si>
  <si>
    <r>
      <t>Reference:</t>
    </r>
    <r>
      <rPr>
        <sz val="11"/>
        <rFont val="Arial"/>
        <family val="2"/>
      </rPr>
      <t xml:space="preserve"> Statistics Canada: Field Crop Reporting Series; Census of Agriculture 2011</t>
    </r>
  </si>
  <si>
    <t>28/08/2012</t>
  </si>
  <si>
    <t>Soybeans: Area and Production, by County, 2010</t>
  </si>
  <si>
    <r>
      <t>Reference:</t>
    </r>
    <r>
      <rPr>
        <sz val="11"/>
        <rFont val="Arial"/>
        <family val="2"/>
      </rPr>
      <t xml:space="preserve"> Statistics Canada: Field Crop Reporting Series and Agricorp</t>
    </r>
  </si>
  <si>
    <t>Soybeans: Area and Production, by County, 2009</t>
  </si>
  <si>
    <r>
      <t>Reference:</t>
    </r>
    <r>
      <rPr>
        <sz val="12"/>
        <rFont val="Arial"/>
        <family val="2"/>
      </rPr>
      <t xml:space="preserve"> Statistics Canada: Field Crop Reporting Series and Agricorp</t>
    </r>
  </si>
  <si>
    <t>Soybeans: Area and Production, by County, 2008</t>
  </si>
  <si>
    <t>Soybeans: Area and Production, by County, 2007</t>
  </si>
  <si>
    <t>Soybeans: Area and Production, by County, 2006</t>
  </si>
  <si>
    <t>Acres seeded (2006 Census)</t>
  </si>
  <si>
    <t>Soybeans: Area and Production, Ontario by County, 2005</t>
  </si>
  <si>
    <t>Brant County</t>
  </si>
  <si>
    <t>Chatham-Kent Division</t>
  </si>
  <si>
    <t>Elgin County</t>
  </si>
  <si>
    <t>Essex County</t>
  </si>
  <si>
    <t>Haldimand-Norfolk Regional Municipality</t>
  </si>
  <si>
    <t>Hamilton Division</t>
  </si>
  <si>
    <t>Lambton County</t>
  </si>
  <si>
    <t>Middlesex County</t>
  </si>
  <si>
    <t>Niagara Regional Municipality</t>
  </si>
  <si>
    <t>Oxford County</t>
  </si>
  <si>
    <t>Southern Ontario Region</t>
  </si>
  <si>
    <t>Bruce County</t>
  </si>
  <si>
    <t>Dufferin County</t>
  </si>
  <si>
    <t>Grey County</t>
  </si>
  <si>
    <t>Halton Regional Municipality</t>
  </si>
  <si>
    <t>Huron County</t>
  </si>
  <si>
    <t>Peel Regional Municipality</t>
  </si>
  <si>
    <t>Perth County</t>
  </si>
  <si>
    <t>Simcoe County</t>
  </si>
  <si>
    <t>Waterloo Regional Municipality</t>
  </si>
  <si>
    <t>Wellington County</t>
  </si>
  <si>
    <t>Western Ontario Region</t>
  </si>
  <si>
    <t>Durham Regional Municipality</t>
  </si>
  <si>
    <t>Haliburton County</t>
  </si>
  <si>
    <t>Hastings County</t>
  </si>
  <si>
    <t>Kawartha Lakes Division</t>
  </si>
  <si>
    <t>Muskoka District Municipality</t>
  </si>
  <si>
    <t>Northumberland County</t>
  </si>
  <si>
    <t>Parry Sound District</t>
  </si>
  <si>
    <t>Peterborough County</t>
  </si>
  <si>
    <t>Prince Edward Division</t>
  </si>
  <si>
    <t>York Regional Municipality</t>
  </si>
  <si>
    <t>Central Ontario Region</t>
  </si>
  <si>
    <t>Frontenac County</t>
  </si>
  <si>
    <t>Lanark County</t>
  </si>
  <si>
    <t>Leeds and Grenville United Counties</t>
  </si>
  <si>
    <t>Lennox and Addington County</t>
  </si>
  <si>
    <t>Ottawa Division</t>
  </si>
  <si>
    <t>Prescott and Russell United Counties</t>
  </si>
  <si>
    <t>Renfrew County</t>
  </si>
  <si>
    <t>Stormont, Dundas and Glengarry Counties</t>
  </si>
  <si>
    <t>Eastern Ontario Region</t>
  </si>
  <si>
    <t>Algoma District</t>
  </si>
  <si>
    <t>Cochrane District</t>
  </si>
  <si>
    <t>Kenora District</t>
  </si>
  <si>
    <t>Manitoulin District</t>
  </si>
  <si>
    <t>Nipissing District</t>
  </si>
  <si>
    <t>Rainy River District</t>
  </si>
  <si>
    <t>Sudbury District</t>
  </si>
  <si>
    <t>Sudbury Regional Municipality</t>
  </si>
  <si>
    <t>Thunder Bay District</t>
  </si>
  <si>
    <t>Timiskaming District</t>
  </si>
  <si>
    <t>Northern Ontario Region</t>
  </si>
  <si>
    <t>Soybeans: Area and Production, Ontario by County, 2004</t>
  </si>
  <si>
    <t>Soybeans: Area and Production, by County, 2019</t>
  </si>
  <si>
    <t>Soybeans: Area and Production, by County, 2004-2019</t>
  </si>
  <si>
    <t>Soybeans: Area and Production, by County, 2004-2020</t>
  </si>
  <si>
    <t>Soybeans: Area and Production, by County, 2020</t>
  </si>
  <si>
    <t>.. not available for a specific reference period or zero; x suppressed tdue to  confidentiality requirements</t>
  </si>
  <si>
    <t>15/11/2021</t>
  </si>
  <si>
    <t>Soybeans: Area and Production, by County, 2004-2021</t>
  </si>
  <si>
    <t>Soybeans: Area and Production, by County, 2021</t>
  </si>
  <si>
    <t>Soybeans: Area and Production, by County, 2004-2022</t>
  </si>
  <si>
    <t>Soybeans: Area and Production, by County, 2022</t>
  </si>
  <si>
    <t>Soybeans: Area and Production, by County, 2004-2023</t>
  </si>
  <si>
    <t>Soybeans: Area and Production, by County, 2023</t>
  </si>
  <si>
    <t>Soybeans: Area and Production, by County, 2004-2024</t>
  </si>
  <si>
    <t>Soybeans: Area and Production, by County,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</si>
</sst>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_)"/>
    <numFmt numFmtId="165" formatCode="_-* #,##0_-;\-* #,##0_-;_-* &quot;-&quot;??_-;_-@_-"/>
    <numFmt numFmtId="166" formatCode="_-* #,##0.0_-;\-* #,##0.0_-;_-* &quot;-&quot;??_-;_-@_-"/>
    <numFmt numFmtId="167" formatCode="#,##0.0"/>
    <numFmt numFmtId="168" formatCode="dd/mm/yyyy;@"/>
    <numFmt numFmtId="169" formatCode="0.0"/>
    <numFmt numFmtId="170" formatCode="#,##0.0_);\(#,##0.0\)"/>
    <numFmt numFmtId="171" formatCode="#,##0.0000_ ;\-#,##0.0000\ "/>
  </numFmts>
  <fonts count="14" x14ac:knownFonts="1">
    <font>
      <sz val="12"/>
      <name val="Arial"/>
    </font>
    <font>
      <sz val="12"/>
      <name val="Times New Roman"/>
      <family val="1"/>
    </font>
    <font>
      <sz val="11"/>
      <name val="Arial"/>
      <family val="2"/>
    </font>
    <font>
      <b/>
      <sz val="11"/>
      <name val="Arial"/>
      <family val="2"/>
    </font>
    <font>
      <sz val="8"/>
      <name val="Arial"/>
      <family val="2"/>
    </font>
    <font>
      <b/>
      <sz val="10"/>
      <name val="Arial"/>
      <family val="2"/>
    </font>
    <font>
      <sz val="12"/>
      <name val="Arial"/>
      <family val="2"/>
    </font>
    <font>
      <b/>
      <sz val="12"/>
      <name val="Arial"/>
      <family val="2"/>
    </font>
    <font>
      <b/>
      <sz val="11"/>
      <name val="Arial"/>
      <family val="2"/>
    </font>
    <font>
      <sz val="11"/>
      <name val="Arial"/>
      <family val="2"/>
    </font>
    <font>
      <b/>
      <sz val="12"/>
      <name val="Arial"/>
      <family val="2"/>
    </font>
    <font>
      <sz val="14"/>
      <name val="Arial"/>
      <family val="2"/>
    </font>
    <font>
      <b/>
      <sz val="14"/>
      <name val="Arial"/>
      <family val="2"/>
    </font>
    <font>
      <sz val="8"/>
      <color theme="1"/>
      <name val="Arial"/>
      <family val="2"/>
    </font>
  </fonts>
  <fills count="3">
    <fill>
      <patternFill patternType="none"/>
    </fill>
    <fill>
      <patternFill patternType="gray125"/>
    </fill>
    <fill>
      <patternFill patternType="solid">
        <fgColor theme="0"/>
        <bgColor indexed="64"/>
      </patternFill>
    </fill>
  </fills>
  <borders count="19">
    <border>
      <left/>
      <right/>
      <top/>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style="medium">
        <color indexed="64"/>
      </top>
      <bottom style="medium">
        <color indexed="8"/>
      </bottom>
      <diagonal/>
    </border>
    <border>
      <left/>
      <right style="medium">
        <color indexed="64"/>
      </right>
      <top/>
      <bottom style="medium">
        <color indexed="64"/>
      </bottom>
      <diagonal/>
    </border>
    <border>
      <left/>
      <right/>
      <top/>
      <bottom style="medium">
        <color indexed="8"/>
      </bottom>
      <diagonal/>
    </border>
    <border>
      <left/>
      <right/>
      <top style="medium">
        <color indexed="8"/>
      </top>
      <bottom style="medium">
        <color indexed="8"/>
      </bottom>
      <diagonal/>
    </border>
    <border>
      <left style="thin">
        <color indexed="8"/>
      </left>
      <right style="thin">
        <color indexed="8"/>
      </right>
      <top style="thin">
        <color indexed="8"/>
      </top>
      <bottom style="thin">
        <color indexed="8"/>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right/>
      <top style="medium">
        <color indexed="8"/>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s>
  <cellStyleXfs count="2">
    <xf numFmtId="164" fontId="0" fillId="0" borderId="0"/>
    <xf numFmtId="43" fontId="1" fillId="0" borderId="0" applyFont="0" applyFill="0" applyBorder="0" applyAlignment="0" applyProtection="0"/>
  </cellStyleXfs>
  <cellXfs count="168">
    <xf numFmtId="164" fontId="0" fillId="0" borderId="0" xfId="0"/>
    <xf numFmtId="164" fontId="2" fillId="0" borderId="0" xfId="0" applyFont="1"/>
    <xf numFmtId="164" fontId="2" fillId="0" borderId="0" xfId="0" applyFont="1" applyProtection="1"/>
    <xf numFmtId="37" fontId="2" fillId="0" borderId="0" xfId="0" applyNumberFormat="1" applyFont="1" applyProtection="1"/>
    <xf numFmtId="164" fontId="2" fillId="0" borderId="0" xfId="0" applyNumberFormat="1" applyFont="1" applyProtection="1"/>
    <xf numFmtId="164" fontId="3" fillId="0" borderId="0" xfId="0" applyFont="1"/>
    <xf numFmtId="3" fontId="3" fillId="0" borderId="0" xfId="0" applyNumberFormat="1" applyFont="1" applyProtection="1"/>
    <xf numFmtId="164" fontId="2" fillId="0" borderId="0" xfId="0" applyFont="1" applyAlignment="1">
      <alignment wrapText="1"/>
    </xf>
    <xf numFmtId="164" fontId="2" fillId="0" borderId="0" xfId="0" applyFont="1" applyBorder="1" applyProtection="1"/>
    <xf numFmtId="164" fontId="2" fillId="0" borderId="0" xfId="0" applyFont="1" applyBorder="1"/>
    <xf numFmtId="164" fontId="3" fillId="0" borderId="0" xfId="0" quotePrefix="1" applyFont="1" applyAlignment="1">
      <alignment horizontal="left"/>
    </xf>
    <xf numFmtId="164" fontId="3" fillId="0" borderId="1" xfId="0" applyFont="1" applyBorder="1" applyAlignment="1" applyProtection="1">
      <alignment wrapText="1"/>
    </xf>
    <xf numFmtId="164" fontId="3" fillId="0" borderId="2" xfId="0" quotePrefix="1" applyFont="1" applyBorder="1" applyAlignment="1" applyProtection="1">
      <alignment horizontal="center" wrapText="1"/>
    </xf>
    <xf numFmtId="167" fontId="3" fillId="0" borderId="2" xfId="0" applyNumberFormat="1" applyFont="1" applyBorder="1" applyAlignment="1" applyProtection="1">
      <alignment horizontal="center" wrapText="1"/>
    </xf>
    <xf numFmtId="164" fontId="3" fillId="0" borderId="2" xfId="0" applyFont="1" applyBorder="1" applyAlignment="1" applyProtection="1">
      <alignment horizontal="center" wrapText="1"/>
    </xf>
    <xf numFmtId="164" fontId="2" fillId="0" borderId="3" xfId="0" applyFont="1" applyBorder="1"/>
    <xf numFmtId="164" fontId="3" fillId="0" borderId="3" xfId="0" quotePrefix="1" applyFont="1" applyBorder="1" applyAlignment="1">
      <alignment horizontal="left"/>
    </xf>
    <xf numFmtId="164" fontId="2" fillId="0" borderId="3" xfId="0" quotePrefix="1" applyFont="1" applyBorder="1" applyAlignment="1">
      <alignment horizontal="left"/>
    </xf>
    <xf numFmtId="164" fontId="3" fillId="0" borderId="4" xfId="0" applyFont="1" applyBorder="1"/>
    <xf numFmtId="165" fontId="5" fillId="0" borderId="0" xfId="1" applyNumberFormat="1" applyFont="1" applyFill="1" applyBorder="1" applyAlignment="1">
      <alignment horizontal="right" vertical="center"/>
    </xf>
    <xf numFmtId="166" fontId="5" fillId="0" borderId="0" xfId="1" applyNumberFormat="1" applyFont="1" applyFill="1" applyBorder="1" applyAlignment="1">
      <alignment horizontal="right" vertical="center"/>
    </xf>
    <xf numFmtId="164" fontId="3" fillId="0" borderId="5" xfId="0" quotePrefix="1" applyFont="1" applyBorder="1" applyAlignment="1" applyProtection="1"/>
    <xf numFmtId="164" fontId="3" fillId="0" borderId="5" xfId="0" applyFont="1" applyBorder="1" applyAlignment="1" applyProtection="1"/>
    <xf numFmtId="164" fontId="0" fillId="0" borderId="0" xfId="0" applyAlignment="1">
      <alignment wrapText="1"/>
    </xf>
    <xf numFmtId="3" fontId="2" fillId="0" borderId="6" xfId="0" applyNumberFormat="1" applyFont="1" applyBorder="1"/>
    <xf numFmtId="3" fontId="2" fillId="0" borderId="0" xfId="1" applyNumberFormat="1" applyFont="1" applyProtection="1"/>
    <xf numFmtId="3" fontId="2" fillId="0" borderId="0" xfId="1" applyNumberFormat="1" applyFont="1"/>
    <xf numFmtId="3" fontId="3" fillId="0" borderId="6" xfId="0" applyNumberFormat="1" applyFont="1" applyBorder="1"/>
    <xf numFmtId="3" fontId="3" fillId="0" borderId="0" xfId="1" applyNumberFormat="1" applyFont="1" applyProtection="1"/>
    <xf numFmtId="3" fontId="3" fillId="0" borderId="0" xfId="1" applyNumberFormat="1" applyFont="1"/>
    <xf numFmtId="167" fontId="2" fillId="0" borderId="0" xfId="1" applyNumberFormat="1" applyFont="1" applyProtection="1"/>
    <xf numFmtId="167" fontId="3" fillId="0" borderId="0" xfId="1" applyNumberFormat="1" applyFont="1" applyProtection="1"/>
    <xf numFmtId="164" fontId="3" fillId="0" borderId="2" xfId="0" applyFont="1" applyFill="1" applyBorder="1" applyAlignment="1" applyProtection="1">
      <alignment horizontal="center" wrapText="1"/>
    </xf>
    <xf numFmtId="167" fontId="2" fillId="0" borderId="0" xfId="1" applyNumberFormat="1" applyFont="1" applyFill="1"/>
    <xf numFmtId="167" fontId="3" fillId="0" borderId="0" xfId="1" applyNumberFormat="1" applyFont="1" applyFill="1"/>
    <xf numFmtId="166" fontId="2" fillId="0" borderId="0" xfId="1" applyNumberFormat="1" applyFont="1"/>
    <xf numFmtId="165" fontId="2" fillId="0" borderId="0" xfId="1" applyNumberFormat="1" applyFont="1"/>
    <xf numFmtId="165" fontId="3" fillId="0" borderId="0" xfId="1" applyNumberFormat="1" applyFont="1"/>
    <xf numFmtId="164" fontId="2" fillId="0" borderId="0" xfId="0" applyNumberFormat="1" applyFont="1"/>
    <xf numFmtId="164" fontId="2" fillId="0" borderId="0" xfId="0" applyNumberFormat="1" applyFont="1" applyAlignment="1">
      <alignment wrapText="1"/>
    </xf>
    <xf numFmtId="164" fontId="2" fillId="0" borderId="0" xfId="1" applyNumberFormat="1" applyFont="1"/>
    <xf numFmtId="164" fontId="3" fillId="0" borderId="0" xfId="1" applyNumberFormat="1" applyFont="1"/>
    <xf numFmtId="164" fontId="3" fillId="0" borderId="0" xfId="0" applyNumberFormat="1" applyFont="1"/>
    <xf numFmtId="164" fontId="2" fillId="0" borderId="0" xfId="0" applyNumberFormat="1" applyFont="1" applyBorder="1"/>
    <xf numFmtId="165" fontId="2" fillId="0" borderId="0" xfId="1" applyNumberFormat="1" applyFont="1" applyProtection="1"/>
    <xf numFmtId="168" fontId="2" fillId="0" borderId="0" xfId="0" applyNumberFormat="1" applyFont="1" applyProtection="1"/>
    <xf numFmtId="164" fontId="3" fillId="0" borderId="1" xfId="0" applyFont="1" applyBorder="1" applyProtection="1"/>
    <xf numFmtId="169" fontId="3" fillId="0" borderId="2" xfId="0" applyNumberFormat="1" applyFont="1" applyBorder="1" applyAlignment="1" applyProtection="1">
      <alignment horizontal="center" wrapText="1"/>
    </xf>
    <xf numFmtId="3" fontId="3" fillId="0" borderId="2" xfId="0" applyNumberFormat="1" applyFont="1" applyBorder="1" applyAlignment="1" applyProtection="1">
      <alignment horizontal="center" wrapText="1"/>
    </xf>
    <xf numFmtId="164" fontId="3" fillId="0" borderId="7" xfId="0" applyFont="1" applyBorder="1" applyAlignment="1" applyProtection="1">
      <alignment horizontal="center" wrapText="1"/>
    </xf>
    <xf numFmtId="166" fontId="2" fillId="0" borderId="0" xfId="1" applyNumberFormat="1" applyFont="1" applyBorder="1" applyProtection="1"/>
    <xf numFmtId="166" fontId="2" fillId="0" borderId="6" xfId="1" applyNumberFormat="1" applyFont="1" applyFill="1" applyBorder="1"/>
    <xf numFmtId="165" fontId="3" fillId="0" borderId="0" xfId="1" applyNumberFormat="1" applyFont="1" applyProtection="1"/>
    <xf numFmtId="164" fontId="3" fillId="0" borderId="0" xfId="0" applyFont="1" applyProtection="1"/>
    <xf numFmtId="166" fontId="3" fillId="0" borderId="6" xfId="1" applyNumberFormat="1" applyFont="1" applyFill="1" applyBorder="1"/>
    <xf numFmtId="3" fontId="3" fillId="0" borderId="0" xfId="0" applyNumberFormat="1" applyFont="1" applyAlignment="1" applyProtection="1">
      <alignment horizontal="right"/>
    </xf>
    <xf numFmtId="3" fontId="3" fillId="0" borderId="0" xfId="0" applyNumberFormat="1" applyFont="1"/>
    <xf numFmtId="167" fontId="3" fillId="0" borderId="0" xfId="0" applyNumberFormat="1" applyFont="1" applyAlignment="1" applyProtection="1">
      <alignment horizontal="right"/>
    </xf>
    <xf numFmtId="3" fontId="2" fillId="0" borderId="0" xfId="0" applyNumberFormat="1" applyFont="1" applyAlignment="1" applyProtection="1">
      <alignment horizontal="right"/>
    </xf>
    <xf numFmtId="169" fontId="2" fillId="0" borderId="0" xfId="0" applyNumberFormat="1" applyFont="1" applyBorder="1" applyProtection="1"/>
    <xf numFmtId="3" fontId="2" fillId="0" borderId="0" xfId="0" applyNumberFormat="1" applyFont="1" applyBorder="1" applyProtection="1"/>
    <xf numFmtId="164" fontId="2" fillId="0" borderId="0" xfId="0" applyFont="1" applyAlignment="1" applyProtection="1">
      <alignment horizontal="centerContinuous"/>
    </xf>
    <xf numFmtId="169" fontId="2" fillId="0" borderId="0" xfId="0" applyNumberFormat="1" applyFont="1" applyAlignment="1" applyProtection="1">
      <alignment horizontal="centerContinuous"/>
    </xf>
    <xf numFmtId="3" fontId="2" fillId="0" borderId="0" xfId="0" applyNumberFormat="1" applyFont="1" applyAlignment="1" applyProtection="1">
      <alignment horizontal="left"/>
    </xf>
    <xf numFmtId="3" fontId="2" fillId="0" borderId="0" xfId="0" applyNumberFormat="1" applyFont="1" applyProtection="1"/>
    <xf numFmtId="168" fontId="2" fillId="0" borderId="0" xfId="0" quotePrefix="1" applyNumberFormat="1" applyFont="1"/>
    <xf numFmtId="169" fontId="2" fillId="0" borderId="0" xfId="0" applyNumberFormat="1" applyFont="1" applyProtection="1"/>
    <xf numFmtId="3" fontId="2" fillId="0" borderId="0" xfId="0" applyNumberFormat="1" applyFont="1" applyAlignment="1" applyProtection="1">
      <alignment horizontal="centerContinuous"/>
    </xf>
    <xf numFmtId="170" fontId="2" fillId="0" borderId="0" xfId="0" applyNumberFormat="1" applyFont="1" applyProtection="1"/>
    <xf numFmtId="37" fontId="2" fillId="0" borderId="0" xfId="0" applyNumberFormat="1" applyFont="1" applyAlignment="1" applyProtection="1">
      <alignment horizontal="centerContinuous"/>
    </xf>
    <xf numFmtId="170" fontId="2" fillId="0" borderId="0" xfId="0" applyNumberFormat="1" applyFont="1" applyAlignment="1" applyProtection="1">
      <alignment horizontal="centerContinuous"/>
    </xf>
    <xf numFmtId="169" fontId="2" fillId="0" borderId="0" xfId="0" applyNumberFormat="1" applyFont="1"/>
    <xf numFmtId="3" fontId="2" fillId="0" borderId="0" xfId="0" applyNumberFormat="1" applyFont="1"/>
    <xf numFmtId="167" fontId="3" fillId="0" borderId="0" xfId="0" applyNumberFormat="1" applyFont="1" applyProtection="1"/>
    <xf numFmtId="164" fontId="2" fillId="0" borderId="0" xfId="0" quotePrefix="1" applyFont="1"/>
    <xf numFmtId="165" fontId="2" fillId="0" borderId="0" xfId="0" applyNumberFormat="1" applyFont="1" applyProtection="1"/>
    <xf numFmtId="166" fontId="2" fillId="0" borderId="0" xfId="0" applyNumberFormat="1" applyFont="1" applyProtection="1"/>
    <xf numFmtId="3" fontId="2" fillId="0" borderId="0" xfId="0" applyNumberFormat="1" applyFont="1" applyBorder="1"/>
    <xf numFmtId="167" fontId="2" fillId="0" borderId="6" xfId="0" applyNumberFormat="1" applyFont="1" applyBorder="1"/>
    <xf numFmtId="165" fontId="3" fillId="0" borderId="0" xfId="0" applyNumberFormat="1" applyFont="1" applyProtection="1"/>
    <xf numFmtId="166" fontId="3" fillId="0" borderId="0" xfId="0" applyNumberFormat="1" applyFont="1" applyProtection="1"/>
    <xf numFmtId="3" fontId="3" fillId="0" borderId="0" xfId="0" applyNumberFormat="1" applyFont="1" applyBorder="1"/>
    <xf numFmtId="167" fontId="3" fillId="0" borderId="6" xfId="0" applyNumberFormat="1" applyFont="1" applyBorder="1"/>
    <xf numFmtId="167" fontId="3" fillId="0" borderId="0" xfId="0" applyNumberFormat="1" applyFont="1"/>
    <xf numFmtId="165" fontId="2" fillId="0" borderId="0" xfId="1" applyNumberFormat="1" applyFont="1" applyBorder="1"/>
    <xf numFmtId="165" fontId="3" fillId="0" borderId="0" xfId="1" applyNumberFormat="1" applyFont="1" applyBorder="1"/>
    <xf numFmtId="164" fontId="3" fillId="0" borderId="0" xfId="0" applyFont="1" applyBorder="1" applyProtection="1"/>
    <xf numFmtId="165" fontId="3" fillId="0" borderId="5" xfId="1" applyNumberFormat="1" applyFont="1" applyBorder="1"/>
    <xf numFmtId="164" fontId="3" fillId="0" borderId="5" xfId="0" applyFont="1" applyBorder="1" applyProtection="1"/>
    <xf numFmtId="3" fontId="3" fillId="0" borderId="5" xfId="0" applyNumberFormat="1" applyFont="1" applyBorder="1"/>
    <xf numFmtId="167" fontId="3" fillId="0" borderId="8" xfId="0" applyNumberFormat="1" applyFont="1" applyBorder="1"/>
    <xf numFmtId="164" fontId="3" fillId="0" borderId="10" xfId="0" applyFont="1" applyBorder="1" applyAlignment="1" applyProtection="1">
      <alignment wrapText="1"/>
    </xf>
    <xf numFmtId="164" fontId="3" fillId="0" borderId="10" xfId="0" quotePrefix="1" applyFont="1" applyBorder="1" applyAlignment="1" applyProtection="1">
      <alignment horizontal="center" wrapText="1"/>
    </xf>
    <xf numFmtId="167" fontId="3" fillId="0" borderId="10" xfId="0" applyNumberFormat="1" applyFont="1" applyBorder="1" applyAlignment="1" applyProtection="1">
      <alignment horizontal="center" wrapText="1"/>
    </xf>
    <xf numFmtId="164" fontId="3" fillId="0" borderId="10" xfId="0" applyFont="1" applyBorder="1" applyAlignment="1" applyProtection="1">
      <alignment horizontal="center" wrapText="1"/>
    </xf>
    <xf numFmtId="165" fontId="6" fillId="0" borderId="0" xfId="1" applyNumberFormat="1" applyFont="1"/>
    <xf numFmtId="167" fontId="2" fillId="0" borderId="0" xfId="0" applyNumberFormat="1" applyFont="1" applyProtection="1"/>
    <xf numFmtId="167" fontId="2" fillId="0" borderId="0" xfId="0" applyNumberFormat="1" applyFont="1"/>
    <xf numFmtId="165" fontId="7" fillId="0" borderId="0" xfId="1" applyNumberFormat="1" applyFont="1"/>
    <xf numFmtId="3" fontId="2" fillId="0" borderId="0" xfId="0" applyNumberFormat="1" applyFont="1" applyAlignment="1">
      <alignment horizontal="right"/>
    </xf>
    <xf numFmtId="164" fontId="2" fillId="0" borderId="0" xfId="0" quotePrefix="1" applyFont="1" applyAlignment="1">
      <alignment horizontal="left"/>
    </xf>
    <xf numFmtId="164" fontId="8" fillId="0" borderId="0" xfId="0" quotePrefix="1" applyFont="1" applyAlignment="1">
      <alignment horizontal="left"/>
    </xf>
    <xf numFmtId="164" fontId="8" fillId="0" borderId="0" xfId="0" applyFont="1"/>
    <xf numFmtId="164" fontId="2" fillId="0" borderId="0" xfId="0" applyNumberFormat="1" applyFont="1" applyAlignment="1" applyProtection="1">
      <alignment horizontal="centerContinuous"/>
    </xf>
    <xf numFmtId="164" fontId="10" fillId="0" borderId="0" xfId="0" applyFont="1"/>
    <xf numFmtId="3" fontId="3" fillId="0" borderId="0" xfId="0" applyNumberFormat="1" applyFont="1" applyAlignment="1">
      <alignment horizontal="right"/>
    </xf>
    <xf numFmtId="164" fontId="2" fillId="0" borderId="11" xfId="0" applyFont="1" applyBorder="1" applyAlignment="1">
      <alignment horizontal="left" vertical="center" wrapText="1"/>
    </xf>
    <xf numFmtId="3" fontId="2" fillId="0" borderId="11" xfId="0" applyNumberFormat="1" applyFont="1" applyBorder="1" applyAlignment="1">
      <alignment horizontal="right" wrapText="1"/>
    </xf>
    <xf numFmtId="1" fontId="2" fillId="0" borderId="11" xfId="0" applyNumberFormat="1" applyFont="1" applyBorder="1" applyAlignment="1">
      <alignment horizontal="right" wrapText="1"/>
    </xf>
    <xf numFmtId="167" fontId="2" fillId="0" borderId="11" xfId="0" applyNumberFormat="1" applyFont="1" applyBorder="1" applyAlignment="1">
      <alignment horizontal="right" wrapText="1"/>
    </xf>
    <xf numFmtId="164" fontId="3" fillId="0" borderId="11" xfId="0" applyFont="1" applyBorder="1" applyAlignment="1">
      <alignment horizontal="left" vertical="center" wrapText="1"/>
    </xf>
    <xf numFmtId="3" fontId="3" fillId="0" borderId="11" xfId="0" applyNumberFormat="1" applyFont="1" applyBorder="1" applyAlignment="1">
      <alignment horizontal="right" wrapText="1"/>
    </xf>
    <xf numFmtId="164" fontId="3" fillId="0" borderId="11" xfId="0" applyFont="1" applyBorder="1" applyAlignment="1">
      <alignment horizontal="right" wrapText="1"/>
    </xf>
    <xf numFmtId="167" fontId="3" fillId="0" borderId="11" xfId="0" applyNumberFormat="1" applyFont="1" applyBorder="1" applyAlignment="1">
      <alignment horizontal="right" wrapText="1"/>
    </xf>
    <xf numFmtId="164" fontId="2" fillId="0" borderId="11" xfId="0" applyFont="1" applyBorder="1" applyAlignment="1">
      <alignment horizontal="right" wrapText="1"/>
    </xf>
    <xf numFmtId="164" fontId="2" fillId="0" borderId="12" xfId="0" applyFont="1" applyBorder="1" applyProtection="1"/>
    <xf numFmtId="37" fontId="3" fillId="0" borderId="12" xfId="0" applyNumberFormat="1" applyFont="1" applyBorder="1" applyProtection="1"/>
    <xf numFmtId="164" fontId="3" fillId="0" borderId="12" xfId="0" applyNumberFormat="1" applyFont="1" applyBorder="1" applyProtection="1"/>
    <xf numFmtId="170" fontId="3" fillId="0" borderId="12" xfId="0" applyNumberFormat="1" applyFont="1" applyBorder="1" applyProtection="1"/>
    <xf numFmtId="37" fontId="2" fillId="0" borderId="0" xfId="0" applyNumberFormat="1" applyFont="1" applyBorder="1" applyProtection="1"/>
    <xf numFmtId="164" fontId="2" fillId="0" borderId="0" xfId="0" applyNumberFormat="1" applyFont="1" applyBorder="1" applyProtection="1"/>
    <xf numFmtId="170" fontId="2" fillId="0" borderId="0" xfId="0" applyNumberFormat="1" applyFont="1" applyBorder="1" applyProtection="1"/>
    <xf numFmtId="164" fontId="3" fillId="0" borderId="14" xfId="0" applyFont="1" applyBorder="1" applyAlignment="1" applyProtection="1">
      <alignment wrapText="1"/>
    </xf>
    <xf numFmtId="164" fontId="3" fillId="0" borderId="14" xfId="0" quotePrefix="1" applyFont="1" applyBorder="1" applyAlignment="1" applyProtection="1">
      <alignment horizontal="center" wrapText="1"/>
    </xf>
    <xf numFmtId="164" fontId="3" fillId="0" borderId="14" xfId="0" applyFont="1" applyBorder="1" applyAlignment="1" applyProtection="1">
      <alignment horizontal="center" wrapText="1"/>
    </xf>
    <xf numFmtId="164" fontId="2" fillId="0" borderId="13" xfId="0" applyFont="1" applyBorder="1" applyAlignment="1">
      <alignment horizontal="left" vertical="center" wrapText="1"/>
    </xf>
    <xf numFmtId="3" fontId="2" fillId="0" borderId="13" xfId="0" applyNumberFormat="1" applyFont="1" applyBorder="1" applyAlignment="1" applyProtection="1">
      <alignment horizontal="right"/>
    </xf>
    <xf numFmtId="3" fontId="2" fillId="0" borderId="13" xfId="0" applyNumberFormat="1" applyFont="1" applyBorder="1" applyAlignment="1">
      <alignment horizontal="right"/>
    </xf>
    <xf numFmtId="167" fontId="2" fillId="0" borderId="13" xfId="0" applyNumberFormat="1" applyFont="1" applyBorder="1" applyAlignment="1">
      <alignment horizontal="right"/>
    </xf>
    <xf numFmtId="164" fontId="3" fillId="0" borderId="13" xfId="0" applyFont="1" applyBorder="1" applyAlignment="1">
      <alignment horizontal="left" vertical="center" wrapText="1"/>
    </xf>
    <xf numFmtId="3" fontId="3" fillId="0" borderId="13" xfId="0" applyNumberFormat="1" applyFont="1" applyBorder="1" applyAlignment="1" applyProtection="1">
      <alignment horizontal="right"/>
    </xf>
    <xf numFmtId="167" fontId="3" fillId="0" borderId="13" xfId="0" applyNumberFormat="1" applyFont="1" applyBorder="1" applyAlignment="1" applyProtection="1">
      <alignment horizontal="right"/>
    </xf>
    <xf numFmtId="167" fontId="2" fillId="0" borderId="13" xfId="0" applyNumberFormat="1" applyFont="1" applyBorder="1" applyAlignment="1" applyProtection="1">
      <alignment horizontal="right"/>
    </xf>
    <xf numFmtId="165" fontId="11" fillId="0" borderId="0" xfId="1" applyNumberFormat="1" applyFont="1"/>
    <xf numFmtId="164" fontId="12" fillId="0" borderId="5" xfId="0" quotePrefix="1" applyFont="1" applyBorder="1" applyAlignment="1" applyProtection="1"/>
    <xf numFmtId="164" fontId="3" fillId="0" borderId="0" xfId="0" quotePrefix="1" applyFont="1" applyBorder="1" applyAlignment="1" applyProtection="1"/>
    <xf numFmtId="164" fontId="3" fillId="0" borderId="0" xfId="0" applyFont="1" applyBorder="1" applyAlignment="1" applyProtection="1"/>
    <xf numFmtId="164" fontId="3" fillId="0" borderId="9" xfId="0" quotePrefix="1" applyFont="1" applyBorder="1" applyAlignment="1" applyProtection="1"/>
    <xf numFmtId="164" fontId="3" fillId="0" borderId="9" xfId="0" applyFont="1" applyBorder="1" applyAlignment="1" applyProtection="1"/>
    <xf numFmtId="164" fontId="9" fillId="0" borderId="0" xfId="0" quotePrefix="1" applyFont="1" applyAlignment="1">
      <alignment wrapText="1"/>
    </xf>
    <xf numFmtId="164" fontId="3" fillId="0" borderId="15" xfId="0" applyFont="1" applyBorder="1" applyAlignment="1" applyProtection="1">
      <alignment wrapText="1"/>
    </xf>
    <xf numFmtId="164" fontId="3" fillId="0" borderId="16" xfId="0" quotePrefix="1" applyFont="1" applyBorder="1" applyAlignment="1" applyProtection="1">
      <alignment horizontal="center" wrapText="1"/>
    </xf>
    <xf numFmtId="167" fontId="3" fillId="0" borderId="16" xfId="0" applyNumberFormat="1" applyFont="1" applyBorder="1" applyAlignment="1" applyProtection="1">
      <alignment horizontal="center" wrapText="1"/>
    </xf>
    <xf numFmtId="164" fontId="3" fillId="0" borderId="16" xfId="0" applyFont="1" applyBorder="1" applyAlignment="1" applyProtection="1">
      <alignment horizontal="center" wrapText="1"/>
    </xf>
    <xf numFmtId="164" fontId="3" fillId="0" borderId="16" xfId="0" applyFont="1" applyFill="1" applyBorder="1" applyAlignment="1" applyProtection="1">
      <alignment horizontal="center" wrapText="1"/>
    </xf>
    <xf numFmtId="3" fontId="2" fillId="0" borderId="0" xfId="1" applyNumberFormat="1" applyFont="1" applyBorder="1" applyProtection="1"/>
    <xf numFmtId="167" fontId="2" fillId="0" borderId="0" xfId="1" applyNumberFormat="1" applyFont="1" applyBorder="1" applyProtection="1"/>
    <xf numFmtId="3" fontId="2" fillId="0" borderId="0" xfId="1" applyNumberFormat="1" applyFont="1" applyBorder="1"/>
    <xf numFmtId="167" fontId="3" fillId="0" borderId="0" xfId="1" applyNumberFormat="1" applyFont="1" applyBorder="1" applyProtection="1"/>
    <xf numFmtId="165" fontId="2" fillId="0" borderId="0" xfId="1" applyNumberFormat="1" applyFont="1" applyBorder="1" applyProtection="1"/>
    <xf numFmtId="164" fontId="2" fillId="0" borderId="15" xfId="0" applyFont="1" applyBorder="1"/>
    <xf numFmtId="3" fontId="2" fillId="0" borderId="16" xfId="0" applyNumberFormat="1" applyFont="1" applyBorder="1"/>
    <xf numFmtId="3" fontId="2" fillId="0" borderId="16" xfId="1" applyNumberFormat="1" applyFont="1" applyBorder="1" applyProtection="1"/>
    <xf numFmtId="167" fontId="2" fillId="0" borderId="16" xfId="1" applyNumberFormat="1" applyFont="1" applyBorder="1" applyProtection="1"/>
    <xf numFmtId="3" fontId="2" fillId="0" borderId="16" xfId="1" applyNumberFormat="1" applyFont="1" applyBorder="1"/>
    <xf numFmtId="167" fontId="2" fillId="0" borderId="17" xfId="1" applyNumberFormat="1" applyFont="1" applyFill="1" applyBorder="1"/>
    <xf numFmtId="167" fontId="2" fillId="0" borderId="6" xfId="1" applyNumberFormat="1" applyFont="1" applyFill="1" applyBorder="1"/>
    <xf numFmtId="167" fontId="3" fillId="0" borderId="6" xfId="1" applyNumberFormat="1" applyFont="1" applyFill="1" applyBorder="1"/>
    <xf numFmtId="3" fontId="3" fillId="0" borderId="5" xfId="1" applyNumberFormat="1" applyFont="1" applyBorder="1" applyProtection="1"/>
    <xf numFmtId="167" fontId="3" fillId="0" borderId="5" xfId="1" applyNumberFormat="1" applyFont="1" applyBorder="1" applyProtection="1"/>
    <xf numFmtId="3" fontId="3" fillId="0" borderId="5" xfId="1" applyNumberFormat="1" applyFont="1" applyBorder="1"/>
    <xf numFmtId="167" fontId="3" fillId="0" borderId="8" xfId="1" applyNumberFormat="1" applyFont="1" applyFill="1" applyBorder="1"/>
    <xf numFmtId="165" fontId="2" fillId="0" borderId="0" xfId="1" applyNumberFormat="1" applyFont="1" applyBorder="1" applyAlignment="1" applyProtection="1">
      <alignment horizontal="right"/>
    </xf>
    <xf numFmtId="43" fontId="5" fillId="0" borderId="0" xfId="1" applyFont="1" applyFill="1" applyBorder="1" applyAlignment="1">
      <alignment horizontal="right" vertical="center"/>
    </xf>
    <xf numFmtId="171" fontId="2" fillId="0" borderId="0" xfId="1" applyNumberFormat="1" applyFont="1"/>
    <xf numFmtId="164" fontId="3" fillId="0" borderId="18" xfId="0" applyFont="1" applyFill="1" applyBorder="1" applyAlignment="1" applyProtection="1">
      <alignment horizontal="center" wrapText="1"/>
    </xf>
    <xf numFmtId="165" fontId="13" fillId="2" borderId="13" xfId="1" applyNumberFormat="1" applyFont="1" applyFill="1" applyBorder="1"/>
    <xf numFmtId="166" fontId="13" fillId="2" borderId="13" xfId="1" applyNumberFormat="1" applyFont="1" applyFill="1" applyBorder="1"/>
  </cellXfs>
  <cellStyles count="2">
    <cellStyle name="Comma" xfId="1" builtinId="3"/>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O:\Corp%20Stats\Field%20Crops\Website\Soy%20final%2020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
      <sheetName val="F"/>
    </sheetNames>
    <sheetDataSet>
      <sheetData sheetId="0">
        <row r="3">
          <cell r="B3">
            <v>48000</v>
          </cell>
          <cell r="C3">
            <v>45200</v>
          </cell>
          <cell r="D3">
            <v>35.591688735817996</v>
          </cell>
          <cell r="E3">
            <v>1608.74</v>
          </cell>
          <cell r="F3">
            <v>43.782386239930332</v>
          </cell>
        </row>
        <row r="4">
          <cell r="B4">
            <v>245800</v>
          </cell>
          <cell r="C4">
            <v>244800</v>
          </cell>
          <cell r="D4">
            <v>43.863999875600058</v>
          </cell>
          <cell r="E4">
            <v>10737.91</v>
          </cell>
          <cell r="F4">
            <v>292.23573916829957</v>
          </cell>
        </row>
        <row r="5">
          <cell r="B5">
            <v>111300</v>
          </cell>
          <cell r="C5">
            <v>111300</v>
          </cell>
          <cell r="D5">
            <v>40.650425731583354</v>
          </cell>
          <cell r="E5">
            <v>4524.3900000000003</v>
          </cell>
          <cell r="F5">
            <v>123.13275636838668</v>
          </cell>
        </row>
        <row r="6">
          <cell r="B6">
            <v>182100</v>
          </cell>
          <cell r="C6">
            <v>182100</v>
          </cell>
          <cell r="D6">
            <v>40.734774090620135</v>
          </cell>
          <cell r="E6">
            <v>7417.8</v>
          </cell>
          <cell r="F6">
            <v>201.87785760940562</v>
          </cell>
        </row>
        <row r="7">
          <cell r="B7">
            <v>148900</v>
          </cell>
          <cell r="C7">
            <v>147500</v>
          </cell>
          <cell r="D7">
            <v>35.272014234870227</v>
          </cell>
          <cell r="E7">
            <v>5202.62</v>
          </cell>
          <cell r="F7">
            <v>141.59100805573698</v>
          </cell>
        </row>
        <row r="8">
          <cell r="B8">
            <v>28400</v>
          </cell>
          <cell r="C8">
            <v>27500</v>
          </cell>
          <cell r="D8">
            <v>32.445146365324831</v>
          </cell>
          <cell r="E8">
            <v>892.24</v>
          </cell>
          <cell r="F8">
            <v>24.282603962551711</v>
          </cell>
        </row>
        <row r="9">
          <cell r="B9">
            <v>257100</v>
          </cell>
          <cell r="C9">
            <v>257100</v>
          </cell>
          <cell r="D9">
            <v>42.937028482393679</v>
          </cell>
          <cell r="E9">
            <v>11039.11</v>
          </cell>
          <cell r="F9">
            <v>300.43299586327021</v>
          </cell>
        </row>
        <row r="10">
          <cell r="B10">
            <v>158900</v>
          </cell>
          <cell r="C10">
            <v>156900</v>
          </cell>
          <cell r="D10">
            <v>41.093724286182606</v>
          </cell>
          <cell r="E10">
            <v>6447.61</v>
          </cell>
          <cell r="F10">
            <v>175.47381885477901</v>
          </cell>
        </row>
        <row r="11">
          <cell r="B11">
            <v>61700</v>
          </cell>
          <cell r="C11">
            <v>60000</v>
          </cell>
          <cell r="D11">
            <v>37.952946962860366</v>
          </cell>
          <cell r="E11">
            <v>2277.1799999999998</v>
          </cell>
          <cell r="F11">
            <v>61.974199869366423</v>
          </cell>
        </row>
        <row r="12">
          <cell r="B12">
            <v>84600</v>
          </cell>
          <cell r="C12">
            <v>83600</v>
          </cell>
          <cell r="D12">
            <v>41.933106973896429</v>
          </cell>
          <cell r="E12">
            <v>3505.61</v>
          </cell>
          <cell r="F12">
            <v>95.406324842151108</v>
          </cell>
        </row>
        <row r="13">
          <cell r="B13">
            <v>1326800</v>
          </cell>
          <cell r="C13">
            <v>1316000</v>
          </cell>
          <cell r="D13">
            <v>40.770516717325229</v>
          </cell>
          <cell r="E13">
            <v>53654</v>
          </cell>
          <cell r="F13">
            <v>1460.211190942739</v>
          </cell>
        </row>
        <row r="14">
          <cell r="B14">
            <v>85300</v>
          </cell>
          <cell r="C14">
            <v>84200</v>
          </cell>
          <cell r="D14">
            <v>39.147474244109418</v>
          </cell>
          <cell r="E14">
            <v>3296.22</v>
          </cell>
          <cell r="F14">
            <v>89.707707380796862</v>
          </cell>
        </row>
        <row r="15">
          <cell r="B15">
            <v>24600</v>
          </cell>
          <cell r="C15">
            <v>24000</v>
          </cell>
          <cell r="D15">
            <v>29.96028257391939</v>
          </cell>
          <cell r="E15">
            <v>719.05</v>
          </cell>
          <cell r="F15">
            <v>19.56918136294361</v>
          </cell>
        </row>
        <row r="16">
          <cell r="B16">
            <v>23900</v>
          </cell>
          <cell r="C16">
            <v>23400</v>
          </cell>
          <cell r="D16">
            <v>32.360471133179104</v>
          </cell>
          <cell r="E16">
            <v>757.24</v>
          </cell>
          <cell r="F16">
            <v>20.608534726758112</v>
          </cell>
        </row>
        <row r="17">
          <cell r="B17">
            <v>23500</v>
          </cell>
          <cell r="C17">
            <v>22700</v>
          </cell>
          <cell r="D17">
            <v>32.592149196481643</v>
          </cell>
          <cell r="E17">
            <v>739.84</v>
          </cell>
          <cell r="F17">
            <v>20.134988025255826</v>
          </cell>
        </row>
        <row r="18">
          <cell r="B18">
            <v>162900</v>
          </cell>
          <cell r="C18">
            <v>162900</v>
          </cell>
          <cell r="D18">
            <v>44.409078090033347</v>
          </cell>
          <cell r="E18">
            <v>7234.24</v>
          </cell>
          <cell r="F18">
            <v>196.88221206183323</v>
          </cell>
        </row>
        <row r="19">
          <cell r="B19">
            <v>16100</v>
          </cell>
          <cell r="C19">
            <v>15300</v>
          </cell>
          <cell r="D19">
            <v>37.334113085051705</v>
          </cell>
          <cell r="E19">
            <v>571.21</v>
          </cell>
          <cell r="F19">
            <v>15.545667319834532</v>
          </cell>
        </row>
        <row r="20">
          <cell r="B20">
            <v>89200</v>
          </cell>
          <cell r="C20">
            <v>89200</v>
          </cell>
          <cell r="D20">
            <v>43.819413585315566</v>
          </cell>
          <cell r="E20">
            <v>3908.69</v>
          </cell>
          <cell r="F20">
            <v>106.37627912040061</v>
          </cell>
        </row>
        <row r="21">
          <cell r="B21">
            <v>63700</v>
          </cell>
          <cell r="C21">
            <v>62700</v>
          </cell>
          <cell r="D21">
            <v>33.62920775928518</v>
          </cell>
          <cell r="E21">
            <v>2108.5500000000002</v>
          </cell>
          <cell r="F21">
            <v>57.384879163945136</v>
          </cell>
        </row>
        <row r="22">
          <cell r="B22">
            <v>35400</v>
          </cell>
          <cell r="C22">
            <v>34600</v>
          </cell>
          <cell r="D22">
            <v>38.589952283897198</v>
          </cell>
          <cell r="E22">
            <v>1335.21</v>
          </cell>
          <cell r="F22">
            <v>36.338177661659046</v>
          </cell>
        </row>
        <row r="23">
          <cell r="B23">
            <v>77800</v>
          </cell>
          <cell r="C23">
            <v>76600</v>
          </cell>
          <cell r="D23">
            <v>37.068098528613248</v>
          </cell>
          <cell r="E23">
            <v>2839.42</v>
          </cell>
          <cell r="F23">
            <v>77.275745699978231</v>
          </cell>
        </row>
        <row r="24">
          <cell r="B24">
            <v>602400</v>
          </cell>
          <cell r="C24">
            <v>595600</v>
          </cell>
          <cell r="D24">
            <v>39.471121558092676</v>
          </cell>
          <cell r="E24">
            <v>23509</v>
          </cell>
          <cell r="F24">
            <v>639.80513825386458</v>
          </cell>
        </row>
        <row r="25">
          <cell r="B25">
            <v>44000</v>
          </cell>
          <cell r="C25">
            <v>43100</v>
          </cell>
          <cell r="D25">
            <v>34.235585597741867</v>
          </cell>
          <cell r="E25">
            <v>1475.55</v>
          </cell>
          <cell r="F25">
            <v>40.157576747224034</v>
          </cell>
        </row>
        <row r="26">
          <cell r="B26" t="str">
            <v>-</v>
          </cell>
          <cell r="C26" t="str">
            <v>-</v>
          </cell>
          <cell r="D26" t="str">
            <v>-</v>
          </cell>
          <cell r="E26" t="str">
            <v>-</v>
          </cell>
          <cell r="F26" t="str">
            <v>-</v>
          </cell>
        </row>
        <row r="27">
          <cell r="B27">
            <v>11800</v>
          </cell>
          <cell r="C27">
            <v>11300</v>
          </cell>
          <cell r="D27">
            <v>37.874015353477319</v>
          </cell>
          <cell r="E27">
            <v>427.98</v>
          </cell>
          <cell r="F27">
            <v>11.647615937295885</v>
          </cell>
        </row>
        <row r="28">
          <cell r="B28">
            <v>22200</v>
          </cell>
          <cell r="C28">
            <v>21400</v>
          </cell>
          <cell r="D28">
            <v>34.519177852978416</v>
          </cell>
          <cell r="E28">
            <v>738.71</v>
          </cell>
          <cell r="F28">
            <v>20.104234704985849</v>
          </cell>
        </row>
        <row r="29">
          <cell r="B29" t="str">
            <v>-</v>
          </cell>
          <cell r="C29" t="str">
            <v>-</v>
          </cell>
          <cell r="D29" t="str">
            <v>-</v>
          </cell>
          <cell r="E29" t="str">
            <v>-</v>
          </cell>
          <cell r="F29" t="str">
            <v>-</v>
          </cell>
        </row>
        <row r="30">
          <cell r="B30">
            <v>30800</v>
          </cell>
          <cell r="C30">
            <v>30300</v>
          </cell>
          <cell r="D30">
            <v>38.10996636898382</v>
          </cell>
          <cell r="E30">
            <v>1154.73</v>
          </cell>
          <cell r="F30">
            <v>31.426355323318095</v>
          </cell>
        </row>
        <row r="31">
          <cell r="B31">
            <v>100</v>
          </cell>
          <cell r="C31">
            <v>100</v>
          </cell>
          <cell r="D31">
            <v>30.246901115867402</v>
          </cell>
          <cell r="E31">
            <v>3.02</v>
          </cell>
          <cell r="F31">
            <v>8.2190289571086442E-2</v>
          </cell>
        </row>
        <row r="32">
          <cell r="B32">
            <v>9300</v>
          </cell>
          <cell r="C32">
            <v>8700</v>
          </cell>
          <cell r="D32">
            <v>34.686095774141805</v>
          </cell>
          <cell r="E32">
            <v>301.77</v>
          </cell>
          <cell r="F32">
            <v>8.2127694317439577</v>
          </cell>
        </row>
        <row r="33">
          <cell r="B33">
            <v>20700</v>
          </cell>
          <cell r="C33">
            <v>20300</v>
          </cell>
          <cell r="D33">
            <v>37.225633679178898</v>
          </cell>
          <cell r="E33">
            <v>755.68</v>
          </cell>
          <cell r="F33">
            <v>20.566078815588938</v>
          </cell>
        </row>
        <row r="34">
          <cell r="B34">
            <v>24400</v>
          </cell>
          <cell r="C34">
            <v>23100</v>
          </cell>
          <cell r="D34">
            <v>32.399515125416045</v>
          </cell>
          <cell r="E34">
            <v>748.43</v>
          </cell>
          <cell r="F34">
            <v>20.368767689962986</v>
          </cell>
        </row>
        <row r="35">
          <cell r="B35">
            <v>163300</v>
          </cell>
          <cell r="C35">
            <v>158300</v>
          </cell>
          <cell r="D35">
            <v>35.42008843967151</v>
          </cell>
          <cell r="E35">
            <v>5607</v>
          </cell>
          <cell r="F35">
            <v>152.59634225996081</v>
          </cell>
        </row>
        <row r="36">
          <cell r="B36">
            <v>3400</v>
          </cell>
          <cell r="C36">
            <v>3400</v>
          </cell>
          <cell r="D36">
            <v>32.479286609106126</v>
          </cell>
          <cell r="E36">
            <v>110.43</v>
          </cell>
          <cell r="F36">
            <v>3.0053886348791643</v>
          </cell>
        </row>
        <row r="37">
          <cell r="B37">
            <v>4800</v>
          </cell>
          <cell r="C37">
            <v>4800</v>
          </cell>
          <cell r="D37">
            <v>32.773807509666355</v>
          </cell>
          <cell r="E37">
            <v>157.31</v>
          </cell>
          <cell r="F37">
            <v>4.2812431961680817</v>
          </cell>
        </row>
        <row r="38">
          <cell r="B38">
            <v>19400</v>
          </cell>
          <cell r="C38">
            <v>18500</v>
          </cell>
          <cell r="D38">
            <v>31.817022350886663</v>
          </cell>
          <cell r="E38">
            <v>588.61</v>
          </cell>
          <cell r="F38">
            <v>16.019214021336818</v>
          </cell>
        </row>
        <row r="39">
          <cell r="B39">
            <v>10800</v>
          </cell>
          <cell r="C39">
            <v>10800</v>
          </cell>
          <cell r="D39">
            <v>33.946591405185416</v>
          </cell>
          <cell r="E39">
            <v>366.62</v>
          </cell>
          <cell r="F39">
            <v>9.9776834313085132</v>
          </cell>
        </row>
        <row r="40">
          <cell r="B40">
            <v>36700</v>
          </cell>
          <cell r="C40">
            <v>35700</v>
          </cell>
          <cell r="D40">
            <v>35.57545722345958</v>
          </cell>
          <cell r="E40">
            <v>1270.04</v>
          </cell>
          <cell r="F40">
            <v>34.564554757239279</v>
          </cell>
        </row>
        <row r="41">
          <cell r="B41">
            <v>56700</v>
          </cell>
          <cell r="C41">
            <v>56700</v>
          </cell>
          <cell r="D41">
            <v>37.88869603962651</v>
          </cell>
          <cell r="E41">
            <v>2148.29</v>
          </cell>
          <cell r="F41">
            <v>58.46641628565208</v>
          </cell>
        </row>
        <row r="42">
          <cell r="B42">
            <v>6100</v>
          </cell>
          <cell r="C42">
            <v>6100</v>
          </cell>
          <cell r="D42">
            <v>32.845574082382711</v>
          </cell>
          <cell r="E42">
            <v>200.36</v>
          </cell>
          <cell r="F42">
            <v>5.4528630524711525</v>
          </cell>
        </row>
        <row r="43">
          <cell r="B43">
            <v>90300</v>
          </cell>
          <cell r="C43">
            <v>90300</v>
          </cell>
          <cell r="D43">
            <v>36.339475103698419</v>
          </cell>
          <cell r="E43">
            <v>3281.45</v>
          </cell>
          <cell r="F43">
            <v>89.305736991073374</v>
          </cell>
        </row>
        <row r="44">
          <cell r="B44">
            <v>228200</v>
          </cell>
          <cell r="C44">
            <v>226300</v>
          </cell>
          <cell r="D44">
            <v>35.890410958904113</v>
          </cell>
          <cell r="E44">
            <v>8122</v>
          </cell>
          <cell r="F44">
            <v>221.04289135641193</v>
          </cell>
        </row>
        <row r="45">
          <cell r="B45" t="str">
            <v>-</v>
          </cell>
          <cell r="C45" t="str">
            <v>-</v>
          </cell>
          <cell r="D45" t="str">
            <v>-</v>
          </cell>
          <cell r="E45" t="str">
            <v>-</v>
          </cell>
          <cell r="F45" t="str">
            <v>-</v>
          </cell>
        </row>
        <row r="46">
          <cell r="B46" t="str">
            <v>-</v>
          </cell>
          <cell r="C46" t="str">
            <v>-</v>
          </cell>
          <cell r="D46" t="str">
            <v>-</v>
          </cell>
          <cell r="E46" t="str">
            <v>-</v>
          </cell>
          <cell r="F46" t="str">
            <v>-</v>
          </cell>
        </row>
        <row r="47">
          <cell r="B47">
            <v>100</v>
          </cell>
          <cell r="C47">
            <v>100</v>
          </cell>
          <cell r="D47">
            <v>30.056871228773829</v>
          </cell>
          <cell r="E47">
            <v>3.01</v>
          </cell>
          <cell r="F47">
            <v>8.1918136294360983E-2</v>
          </cell>
        </row>
        <row r="48">
          <cell r="B48">
            <v>100</v>
          </cell>
          <cell r="C48">
            <v>100</v>
          </cell>
          <cell r="D48">
            <v>30.899407011233301</v>
          </cell>
          <cell r="E48">
            <v>3.09</v>
          </cell>
          <cell r="F48">
            <v>8.4095362508164601E-2</v>
          </cell>
        </row>
        <row r="49">
          <cell r="B49">
            <v>1400</v>
          </cell>
          <cell r="C49">
            <v>1000</v>
          </cell>
          <cell r="D49">
            <v>27.387747781169914</v>
          </cell>
          <cell r="E49">
            <v>27.39</v>
          </cell>
          <cell r="F49">
            <v>0.74542782495101245</v>
          </cell>
        </row>
        <row r="50">
          <cell r="B50">
            <v>200</v>
          </cell>
          <cell r="C50">
            <v>200</v>
          </cell>
          <cell r="D50">
            <v>26.129584907863311</v>
          </cell>
          <cell r="E50">
            <v>5.23</v>
          </cell>
          <cell r="F50">
            <v>0.14233616372741129</v>
          </cell>
        </row>
        <row r="51">
          <cell r="B51" t="str">
            <v>-</v>
          </cell>
          <cell r="C51" t="str">
            <v>-</v>
          </cell>
          <cell r="D51" t="str">
            <v>-</v>
          </cell>
          <cell r="E51" t="str">
            <v>-</v>
          </cell>
          <cell r="F51" t="str">
            <v>-</v>
          </cell>
        </row>
        <row r="52">
          <cell r="B52" t="str">
            <v>-</v>
          </cell>
          <cell r="C52" t="str">
            <v>-</v>
          </cell>
          <cell r="D52" t="str">
            <v>-</v>
          </cell>
          <cell r="E52" t="str">
            <v>-</v>
          </cell>
          <cell r="F52" t="str">
            <v>-</v>
          </cell>
        </row>
        <row r="53">
          <cell r="B53">
            <v>300</v>
          </cell>
          <cell r="C53">
            <v>200</v>
          </cell>
          <cell r="D53">
            <v>30.184368455566872</v>
          </cell>
          <cell r="E53">
            <v>6.04</v>
          </cell>
          <cell r="F53">
            <v>0.16438057914217288</v>
          </cell>
        </row>
        <row r="54">
          <cell r="B54">
            <v>2200</v>
          </cell>
          <cell r="C54">
            <v>2200</v>
          </cell>
          <cell r="D54">
            <v>28.901328064066909</v>
          </cell>
          <cell r="E54">
            <v>63.58</v>
          </cell>
          <cell r="F54">
            <v>1.7303505334204223</v>
          </cell>
        </row>
        <row r="55">
          <cell r="B55">
            <v>4300</v>
          </cell>
          <cell r="C55">
            <v>3800</v>
          </cell>
          <cell r="D55">
            <v>28.421052631578949</v>
          </cell>
          <cell r="E55">
            <v>108</v>
          </cell>
          <cell r="F55">
            <v>2.9392553886348791</v>
          </cell>
        </row>
        <row r="56">
          <cell r="B56">
            <v>2325000</v>
          </cell>
          <cell r="C56">
            <v>2300000</v>
          </cell>
          <cell r="D56">
            <v>39.565217391304351</v>
          </cell>
          <cell r="E56">
            <v>91000</v>
          </cell>
          <cell r="F56">
            <v>2476.5948182016114</v>
          </cell>
        </row>
      </sheetData>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63352-2515-4953-AC2A-A795F3F18F0E}">
  <dimension ref="A1:L87"/>
  <sheetViews>
    <sheetView tabSelected="1" workbookViewId="0">
      <selection activeCell="B4" sqref="B4:F57"/>
    </sheetView>
  </sheetViews>
  <sheetFormatPr defaultColWidth="9.77734375" defaultRowHeight="14.25" x14ac:dyDescent="0.2"/>
  <cols>
    <col min="1" max="1" width="34.5546875" style="1" customWidth="1"/>
    <col min="2" max="2" width="13.77734375" style="1" customWidth="1"/>
    <col min="3" max="3" width="13.109375" style="1" customWidth="1"/>
    <col min="4" max="4" width="12.77734375" style="1" customWidth="1"/>
    <col min="5" max="5" width="14.5546875" style="1" customWidth="1"/>
    <col min="6" max="6" width="14.6640625" style="1" customWidth="1"/>
    <col min="7" max="8" width="11.33203125" style="1" bestFit="1" customWidth="1"/>
    <col min="9" max="9" width="13.109375" style="38" bestFit="1" customWidth="1"/>
    <col min="10" max="10" width="9.77734375" style="1"/>
    <col min="11" max="11" width="11" style="1" customWidth="1"/>
    <col min="12" max="16384" width="9.77734375" style="1"/>
  </cols>
  <sheetData>
    <row r="1" spans="1:12" ht="18.75" thickBot="1" x14ac:dyDescent="0.3">
      <c r="A1" s="134" t="s">
        <v>164</v>
      </c>
    </row>
    <row r="2" spans="1:12" ht="15.75" thickBot="1" x14ac:dyDescent="0.3">
      <c r="A2" s="21" t="s">
        <v>165</v>
      </c>
      <c r="B2" s="22"/>
      <c r="C2" s="22"/>
      <c r="D2" s="22"/>
      <c r="E2" s="22"/>
      <c r="F2" s="22"/>
    </row>
    <row r="3" spans="1:12" s="7" customFormat="1" ht="47.25" customHeight="1" thickBot="1" x14ac:dyDescent="0.3">
      <c r="A3" s="140"/>
      <c r="B3" s="141" t="s">
        <v>59</v>
      </c>
      <c r="C3" s="141" t="s">
        <v>57</v>
      </c>
      <c r="D3" s="142" t="s">
        <v>3</v>
      </c>
      <c r="E3" s="143" t="s">
        <v>1</v>
      </c>
      <c r="F3" s="165" t="s">
        <v>2</v>
      </c>
      <c r="I3" s="39"/>
    </row>
    <row r="4" spans="1:12" x14ac:dyDescent="0.2">
      <c r="A4" s="150" t="s">
        <v>4</v>
      </c>
      <c r="B4" s="151">
        <v>39648.322179235111</v>
      </c>
      <c r="C4" s="152">
        <v>39226.328775555819</v>
      </c>
      <c r="D4" s="153">
        <v>49.685411832127727</v>
      </c>
      <c r="E4" s="154">
        <v>1948.9762998759334</v>
      </c>
      <c r="F4" s="155">
        <v>39.583708650480212</v>
      </c>
      <c r="G4" s="164"/>
      <c r="H4" s="36"/>
      <c r="I4" s="40"/>
      <c r="K4" s="35"/>
    </row>
    <row r="5" spans="1:12" x14ac:dyDescent="0.2">
      <c r="A5" s="15" t="s">
        <v>5</v>
      </c>
      <c r="B5" s="77">
        <v>267158.39382557647</v>
      </c>
      <c r="C5" s="145">
        <v>264314.9171351305</v>
      </c>
      <c r="D5" s="146">
        <v>59.071346622654552</v>
      </c>
      <c r="E5" s="147">
        <v>15613.43808762751</v>
      </c>
      <c r="F5" s="156">
        <v>317.10892755971474</v>
      </c>
      <c r="G5" s="164"/>
      <c r="H5" s="36"/>
      <c r="I5" s="40"/>
      <c r="K5" s="35"/>
    </row>
    <row r="6" spans="1:12" x14ac:dyDescent="0.2">
      <c r="A6" s="15" t="s">
        <v>6</v>
      </c>
      <c r="B6" s="77">
        <v>122893.57855268102</v>
      </c>
      <c r="C6" s="145">
        <v>121585.57163956795</v>
      </c>
      <c r="D6" s="146">
        <v>53.929815738563491</v>
      </c>
      <c r="E6" s="147">
        <v>6557.0874749898103</v>
      </c>
      <c r="F6" s="156">
        <v>133.17444661704306</v>
      </c>
      <c r="G6" s="164"/>
      <c r="H6" s="36"/>
      <c r="I6" s="40"/>
      <c r="K6" s="35"/>
    </row>
    <row r="7" spans="1:12" x14ac:dyDescent="0.2">
      <c r="A7" s="15" t="s">
        <v>7</v>
      </c>
      <c r="B7" s="77">
        <v>212412.71580911143</v>
      </c>
      <c r="C7" s="145">
        <v>210151.91989134636</v>
      </c>
      <c r="D7" s="146">
        <v>57.448082602690185</v>
      </c>
      <c r="E7" s="147">
        <v>12072.824853031996</v>
      </c>
      <c r="F7" s="156">
        <v>245.19907276507985</v>
      </c>
      <c r="G7" s="164"/>
      <c r="H7" s="36"/>
      <c r="I7" s="40"/>
      <c r="K7" s="35"/>
    </row>
    <row r="8" spans="1:12" x14ac:dyDescent="0.2">
      <c r="A8" s="15" t="s">
        <v>8</v>
      </c>
      <c r="B8" s="77">
        <v>163190.59437223588</v>
      </c>
      <c r="C8" s="145">
        <v>161453.68974216675</v>
      </c>
      <c r="D8" s="146">
        <v>52.822811699378107</v>
      </c>
      <c r="E8" s="147">
        <v>8528.437851420289</v>
      </c>
      <c r="F8" s="156">
        <v>173.21257276234607</v>
      </c>
      <c r="G8" s="164"/>
      <c r="H8" s="36"/>
      <c r="I8" s="40"/>
      <c r="K8" s="35"/>
    </row>
    <row r="9" spans="1:12" x14ac:dyDescent="0.2">
      <c r="A9" s="15" t="s">
        <v>9</v>
      </c>
      <c r="B9" s="77">
        <v>30002.999865465881</v>
      </c>
      <c r="C9" s="145">
        <v>29683.665595113122</v>
      </c>
      <c r="D9" s="146">
        <v>47.334656199741751</v>
      </c>
      <c r="E9" s="147">
        <v>1405.0661056927822</v>
      </c>
      <c r="F9" s="156">
        <v>28.536892606620409</v>
      </c>
      <c r="G9" s="164"/>
      <c r="H9" s="36"/>
      <c r="I9" s="40"/>
      <c r="K9" s="35"/>
    </row>
    <row r="10" spans="1:12" x14ac:dyDescent="0.2">
      <c r="A10" s="15" t="s">
        <v>10</v>
      </c>
      <c r="B10" s="77">
        <v>289236.63144012011</v>
      </c>
      <c r="C10" s="145">
        <v>286158.16698408639</v>
      </c>
      <c r="D10" s="146">
        <v>46.354187601909508</v>
      </c>
      <c r="E10" s="147">
        <v>13264.629356198888</v>
      </c>
      <c r="F10" s="156">
        <v>269.40462222439942</v>
      </c>
      <c r="G10" s="164"/>
      <c r="H10" s="36"/>
      <c r="I10" s="40"/>
      <c r="K10" s="35"/>
    </row>
    <row r="11" spans="1:12" x14ac:dyDescent="0.2">
      <c r="A11" s="15" t="s">
        <v>11</v>
      </c>
      <c r="B11" s="77">
        <v>179443.44887350974</v>
      </c>
      <c r="C11" s="145">
        <v>177533.55842680272</v>
      </c>
      <c r="D11" s="146">
        <v>50.969872951961769</v>
      </c>
      <c r="E11" s="147">
        <v>9048.8629177238163</v>
      </c>
      <c r="F11" s="156">
        <v>183.78240585897072</v>
      </c>
      <c r="G11" s="164"/>
      <c r="H11" s="36"/>
      <c r="I11" s="40"/>
      <c r="K11" s="35"/>
    </row>
    <row r="12" spans="1:12" x14ac:dyDescent="0.2">
      <c r="A12" s="15" t="s">
        <v>12</v>
      </c>
      <c r="B12" s="77">
        <v>88820.658582909644</v>
      </c>
      <c r="C12" s="145">
        <v>87875.303774123604</v>
      </c>
      <c r="D12" s="146">
        <v>49.195134369896422</v>
      </c>
      <c r="E12" s="147">
        <v>4323.0373769634771</v>
      </c>
      <c r="F12" s="156">
        <v>87.800889126128226</v>
      </c>
      <c r="G12" s="164"/>
      <c r="H12" s="36"/>
      <c r="I12" s="40"/>
      <c r="K12" s="35"/>
    </row>
    <row r="13" spans="1:12" x14ac:dyDescent="0.2">
      <c r="A13" s="15" t="s">
        <v>13</v>
      </c>
      <c r="B13" s="77">
        <v>63492.656499154902</v>
      </c>
      <c r="C13" s="145">
        <v>62816.878036106827</v>
      </c>
      <c r="D13" s="146">
        <v>55.082531635134849</v>
      </c>
      <c r="E13" s="147">
        <v>3460.1126716442614</v>
      </c>
      <c r="F13" s="156">
        <v>70.274888361094952</v>
      </c>
      <c r="G13" s="164"/>
      <c r="H13" s="36"/>
      <c r="I13" s="40"/>
      <c r="K13" s="35"/>
    </row>
    <row r="14" spans="1:12" s="5" customFormat="1" ht="15" x14ac:dyDescent="0.25">
      <c r="A14" s="16" t="s">
        <v>14</v>
      </c>
      <c r="B14" s="81">
        <v>1456300.0000000002</v>
      </c>
      <c r="C14" s="81">
        <v>1440800.0000000002</v>
      </c>
      <c r="D14" s="148">
        <v>52.902882423076591</v>
      </c>
      <c r="E14" s="81">
        <v>76222.472995168762</v>
      </c>
      <c r="F14" s="157">
        <v>1548.0784265318778</v>
      </c>
      <c r="G14" s="164"/>
      <c r="H14" s="37"/>
      <c r="I14" s="41"/>
      <c r="K14" s="35"/>
      <c r="L14" s="1"/>
    </row>
    <row r="15" spans="1:12" x14ac:dyDescent="0.2">
      <c r="A15" s="15" t="s">
        <v>15</v>
      </c>
      <c r="B15" s="77">
        <v>143827.59599056246</v>
      </c>
      <c r="C15" s="145">
        <v>142056.39739128895</v>
      </c>
      <c r="D15" s="146">
        <v>51.062020224977452</v>
      </c>
      <c r="E15" s="147">
        <v>7253.6866366814302</v>
      </c>
      <c r="F15" s="156">
        <v>147.32237559099985</v>
      </c>
      <c r="G15" s="164"/>
      <c r="H15" s="36"/>
      <c r="I15" s="40"/>
      <c r="K15" s="35"/>
    </row>
    <row r="16" spans="1:12" x14ac:dyDescent="0.2">
      <c r="A16" s="15" t="s">
        <v>16</v>
      </c>
      <c r="B16" s="77">
        <v>35050.885864929674</v>
      </c>
      <c r="C16" s="145">
        <v>34619.243525921709</v>
      </c>
      <c r="D16" s="146">
        <v>47.267295712328433</v>
      </c>
      <c r="E16" s="147">
        <v>1636.3580210768532</v>
      </c>
      <c r="F16" s="156">
        <v>33.23443140807089</v>
      </c>
      <c r="G16" s="164"/>
      <c r="H16" s="36"/>
      <c r="I16" s="40"/>
      <c r="K16" s="35"/>
    </row>
    <row r="17" spans="1:12" x14ac:dyDescent="0.2">
      <c r="A17" s="15" t="s">
        <v>17</v>
      </c>
      <c r="B17" s="77">
        <v>59521.534908590358</v>
      </c>
      <c r="C17" s="145">
        <v>58788.543033626236</v>
      </c>
      <c r="D17" s="146">
        <v>49.27416932936228</v>
      </c>
      <c r="E17" s="147">
        <v>2896.7566240654005</v>
      </c>
      <c r="F17" s="156">
        <v>58.833127034768289</v>
      </c>
      <c r="G17" s="164"/>
      <c r="H17" s="36"/>
      <c r="I17" s="40"/>
      <c r="K17" s="35"/>
    </row>
    <row r="18" spans="1:12" x14ac:dyDescent="0.2">
      <c r="A18" s="15" t="s">
        <v>18</v>
      </c>
      <c r="B18" s="77">
        <v>26827.175304012508</v>
      </c>
      <c r="C18" s="145">
        <v>26496.805773786546</v>
      </c>
      <c r="D18" s="146">
        <v>42.047275298360312</v>
      </c>
      <c r="E18" s="147">
        <v>1114.1184868975859</v>
      </c>
      <c r="F18" s="156">
        <v>22.627746468889971</v>
      </c>
      <c r="G18" s="164"/>
      <c r="H18" s="36"/>
      <c r="I18" s="40"/>
      <c r="K18" s="35"/>
    </row>
    <row r="19" spans="1:12" x14ac:dyDescent="0.2">
      <c r="A19" s="15" t="s">
        <v>19</v>
      </c>
      <c r="B19" s="77">
        <v>249611.5173231771</v>
      </c>
      <c r="C19" s="145">
        <v>246537.61786180839</v>
      </c>
      <c r="D19" s="146">
        <v>54.353874696065212</v>
      </c>
      <c r="E19" s="147">
        <v>13400.274789127141</v>
      </c>
      <c r="F19" s="156">
        <v>364.69286928824135</v>
      </c>
      <c r="G19" s="164"/>
      <c r="H19" s="36"/>
      <c r="I19" s="40"/>
      <c r="K19" s="35"/>
    </row>
    <row r="20" spans="1:12" x14ac:dyDescent="0.2">
      <c r="A20" s="15" t="s">
        <v>20</v>
      </c>
      <c r="B20" s="77">
        <v>31874.630979269088</v>
      </c>
      <c r="C20" s="145">
        <v>31482.103374576691</v>
      </c>
      <c r="D20" s="146">
        <v>48.667496557699607</v>
      </c>
      <c r="E20" s="147">
        <v>1532.1551576113543</v>
      </c>
      <c r="F20" s="156">
        <v>41.698104659573112</v>
      </c>
      <c r="G20" s="164"/>
      <c r="H20" s="36"/>
      <c r="I20" s="40"/>
      <c r="K20" s="35"/>
    </row>
    <row r="21" spans="1:12" x14ac:dyDescent="0.2">
      <c r="A21" s="15" t="s">
        <v>21</v>
      </c>
      <c r="B21" s="77">
        <v>118568.92159270549</v>
      </c>
      <c r="C21" s="145">
        <v>117108.77685208039</v>
      </c>
      <c r="D21" s="146">
        <v>55.746319192742405</v>
      </c>
      <c r="E21" s="147">
        <v>6528.3832546677168</v>
      </c>
      <c r="F21" s="156">
        <v>177.67208944773887</v>
      </c>
      <c r="G21" s="164"/>
      <c r="H21" s="36"/>
      <c r="I21" s="40"/>
      <c r="K21" s="35"/>
    </row>
    <row r="22" spans="1:12" x14ac:dyDescent="0.2">
      <c r="A22" s="15" t="s">
        <v>22</v>
      </c>
      <c r="B22" s="77">
        <v>124983.58452111459</v>
      </c>
      <c r="C22" s="145">
        <v>123444.44491225605</v>
      </c>
      <c r="D22" s="146">
        <v>47.779929612434906</v>
      </c>
      <c r="E22" s="147">
        <v>5898.1668889536923</v>
      </c>
      <c r="F22" s="156">
        <v>160.52054455023111</v>
      </c>
      <c r="G22" s="164"/>
      <c r="H22" s="36"/>
      <c r="I22" s="40"/>
      <c r="K22" s="35"/>
    </row>
    <row r="23" spans="1:12" x14ac:dyDescent="0.2">
      <c r="A23" s="15" t="s">
        <v>23</v>
      </c>
      <c r="B23" s="77">
        <v>23692.871956172854</v>
      </c>
      <c r="C23" s="145">
        <v>23401.100538229573</v>
      </c>
      <c r="D23" s="146">
        <v>54.014588989277556</v>
      </c>
      <c r="E23" s="147">
        <v>1264.0008274692323</v>
      </c>
      <c r="F23" s="156">
        <v>34.4001966979434</v>
      </c>
      <c r="G23" s="164"/>
      <c r="H23" s="36"/>
      <c r="I23" s="40"/>
      <c r="K23" s="35"/>
    </row>
    <row r="24" spans="1:12" x14ac:dyDescent="0.2">
      <c r="A24" s="15" t="s">
        <v>24</v>
      </c>
      <c r="B24" s="77">
        <v>103641.28155946593</v>
      </c>
      <c r="C24" s="145">
        <v>102364.96673642543</v>
      </c>
      <c r="D24" s="146">
        <v>51.589772445144021</v>
      </c>
      <c r="E24" s="147">
        <v>5280.9853402869248</v>
      </c>
      <c r="F24" s="156">
        <v>143.72374646981615</v>
      </c>
      <c r="G24" s="164"/>
      <c r="H24" s="36"/>
      <c r="I24" s="40"/>
      <c r="K24" s="35"/>
    </row>
    <row r="25" spans="1:12" s="5" customFormat="1" ht="15" x14ac:dyDescent="0.25">
      <c r="A25" s="16" t="s">
        <v>25</v>
      </c>
      <c r="B25" s="81">
        <v>917600</v>
      </c>
      <c r="C25" s="81">
        <v>906300</v>
      </c>
      <c r="D25" s="148">
        <v>51.643921468429134</v>
      </c>
      <c r="E25" s="81">
        <v>46804.886026837325</v>
      </c>
      <c r="F25" s="157">
        <v>1273.8103098965089</v>
      </c>
      <c r="G25" s="164"/>
      <c r="H25" s="37"/>
      <c r="I25" s="41"/>
      <c r="K25" s="35"/>
      <c r="L25" s="1"/>
    </row>
    <row r="26" spans="1:12" x14ac:dyDescent="0.2">
      <c r="A26" s="15" t="s">
        <v>26</v>
      </c>
      <c r="B26" s="77">
        <v>57582.428557148713</v>
      </c>
      <c r="C26" s="145">
        <v>57312.510923287082</v>
      </c>
      <c r="D26" s="146">
        <v>46.728522171842968</v>
      </c>
      <c r="E26" s="147">
        <v>2678.1289374028129</v>
      </c>
      <c r="F26" s="156">
        <v>72.886156580742778</v>
      </c>
      <c r="G26" s="164"/>
      <c r="H26" s="36"/>
      <c r="I26" s="40"/>
      <c r="K26" s="35"/>
    </row>
    <row r="27" spans="1:12" x14ac:dyDescent="0.2">
      <c r="A27" s="15" t="s">
        <v>27</v>
      </c>
      <c r="B27" s="162">
        <v>0</v>
      </c>
      <c r="C27" s="162">
        <v>0</v>
      </c>
      <c r="D27" s="162">
        <v>0</v>
      </c>
      <c r="E27" s="162">
        <v>0</v>
      </c>
      <c r="F27" s="156">
        <v>0</v>
      </c>
      <c r="G27" s="164"/>
      <c r="H27" s="36"/>
      <c r="I27" s="40"/>
      <c r="K27" s="35"/>
    </row>
    <row r="28" spans="1:12" x14ac:dyDescent="0.2">
      <c r="A28" s="15" t="s">
        <v>28</v>
      </c>
      <c r="B28" s="77">
        <v>31920.004442618028</v>
      </c>
      <c r="C28" s="145">
        <v>31770.379421793259</v>
      </c>
      <c r="D28" s="146">
        <v>46.261428095851947</v>
      </c>
      <c r="E28" s="147">
        <v>1469.7431231992234</v>
      </c>
      <c r="F28" s="156">
        <v>39.999540692336801</v>
      </c>
      <c r="G28" s="164"/>
      <c r="H28" s="36"/>
      <c r="I28" s="40"/>
      <c r="K28" s="35"/>
    </row>
    <row r="29" spans="1:12" x14ac:dyDescent="0.2">
      <c r="A29" s="15" t="s">
        <v>29</v>
      </c>
      <c r="B29" s="77">
        <v>47845.16232215643</v>
      </c>
      <c r="C29" s="145">
        <v>47620.888123771329</v>
      </c>
      <c r="D29" s="146">
        <v>45.372802769934076</v>
      </c>
      <c r="E29" s="147">
        <v>2160.6931645689724</v>
      </c>
      <c r="F29" s="156">
        <v>58.803972473573168</v>
      </c>
      <c r="G29" s="164"/>
      <c r="H29" s="36"/>
      <c r="I29" s="40"/>
      <c r="K29" s="35"/>
    </row>
    <row r="30" spans="1:12" x14ac:dyDescent="0.2">
      <c r="A30" s="15" t="s">
        <v>30</v>
      </c>
      <c r="B30" s="149">
        <v>0</v>
      </c>
      <c r="C30" s="149">
        <v>0</v>
      </c>
      <c r="D30" s="149">
        <v>0</v>
      </c>
      <c r="E30" s="149">
        <v>0</v>
      </c>
      <c r="F30" s="156">
        <v>0</v>
      </c>
      <c r="G30" s="164"/>
      <c r="H30" s="36"/>
      <c r="I30" s="40"/>
      <c r="K30" s="35"/>
    </row>
    <row r="31" spans="1:12" x14ac:dyDescent="0.2">
      <c r="A31" s="15" t="s">
        <v>31</v>
      </c>
      <c r="B31" s="77">
        <v>37090.6716127814</v>
      </c>
      <c r="C31" s="145">
        <v>36916.809089596492</v>
      </c>
      <c r="D31" s="146">
        <v>48.022146504474357</v>
      </c>
      <c r="E31" s="147">
        <v>1772.8244145783135</v>
      </c>
      <c r="F31" s="156">
        <v>48.247997348636879</v>
      </c>
      <c r="G31" s="164"/>
      <c r="H31" s="36"/>
      <c r="I31" s="40"/>
      <c r="K31" s="35"/>
    </row>
    <row r="32" spans="1:12" x14ac:dyDescent="0.2">
      <c r="A32" s="15" t="s">
        <v>32</v>
      </c>
      <c r="B32" s="162">
        <v>0</v>
      </c>
      <c r="C32" s="162">
        <v>0</v>
      </c>
      <c r="D32" s="162">
        <v>0</v>
      </c>
      <c r="E32" s="162">
        <v>0</v>
      </c>
      <c r="F32" s="156">
        <v>0</v>
      </c>
      <c r="G32" s="164"/>
      <c r="H32" s="36"/>
      <c r="I32" s="40"/>
      <c r="K32" s="35"/>
    </row>
    <row r="33" spans="1:12" x14ac:dyDescent="0.2">
      <c r="A33" s="15" t="s">
        <v>33</v>
      </c>
      <c r="B33" s="77">
        <v>30663.404600330974</v>
      </c>
      <c r="C33" s="145">
        <v>30519.669891266924</v>
      </c>
      <c r="D33" s="146">
        <v>44.600980352233506</v>
      </c>
      <c r="E33" s="147">
        <v>1361.2071971770486</v>
      </c>
      <c r="F33" s="156">
        <v>37.045699901400191</v>
      </c>
      <c r="G33" s="164"/>
      <c r="H33" s="36"/>
      <c r="I33" s="40"/>
      <c r="K33" s="35"/>
    </row>
    <row r="34" spans="1:12" x14ac:dyDescent="0.2">
      <c r="A34" s="15" t="s">
        <v>34</v>
      </c>
      <c r="B34" s="77">
        <v>24476.195341914983</v>
      </c>
      <c r="C34" s="145">
        <v>24361.463176249759</v>
      </c>
      <c r="D34" s="146">
        <v>47.041634777363548</v>
      </c>
      <c r="E34" s="147">
        <v>1146.0030533793322</v>
      </c>
      <c r="F34" s="156">
        <v>31.188848611455807</v>
      </c>
      <c r="G34" s="36"/>
      <c r="H34" s="36"/>
      <c r="I34" s="40"/>
      <c r="K34" s="35"/>
    </row>
    <row r="35" spans="1:12" x14ac:dyDescent="0.2">
      <c r="A35" s="15" t="s">
        <v>35</v>
      </c>
      <c r="B35" s="77">
        <v>26422.133123049407</v>
      </c>
      <c r="C35" s="145">
        <v>26298.279374035115</v>
      </c>
      <c r="D35" s="146">
        <v>43.571408577383458</v>
      </c>
      <c r="E35" s="147">
        <v>1145.8530754882599</v>
      </c>
      <c r="F35" s="156">
        <v>31.184766914006641</v>
      </c>
      <c r="G35" s="36"/>
      <c r="H35" s="36"/>
      <c r="I35" s="40"/>
      <c r="K35" s="35"/>
    </row>
    <row r="36" spans="1:12" s="5" customFormat="1" ht="15" x14ac:dyDescent="0.25">
      <c r="A36" s="16" t="s">
        <v>36</v>
      </c>
      <c r="B36" s="81">
        <v>255999.99999999991</v>
      </c>
      <c r="C36" s="81">
        <v>254799.99999999997</v>
      </c>
      <c r="D36" s="148">
        <v>46.053583068265169</v>
      </c>
      <c r="E36" s="81">
        <v>11734.452965793964</v>
      </c>
      <c r="F36" s="157">
        <v>319.35698252215229</v>
      </c>
      <c r="G36" s="37"/>
      <c r="H36" s="37"/>
      <c r="I36" s="41"/>
      <c r="K36" s="35"/>
      <c r="L36" s="1"/>
    </row>
    <row r="37" spans="1:12" x14ac:dyDescent="0.2">
      <c r="A37" s="15" t="s">
        <v>37</v>
      </c>
      <c r="B37" s="77">
        <v>17435.071691241177</v>
      </c>
      <c r="C37" s="145">
        <v>17309.365471924819</v>
      </c>
      <c r="D37" s="146">
        <v>44.329629950952786</v>
      </c>
      <c r="E37" s="147">
        <v>767.31776605622645</v>
      </c>
      <c r="F37" s="156">
        <v>20.882804432185566</v>
      </c>
      <c r="G37" s="36"/>
      <c r="H37" s="36"/>
      <c r="I37" s="40"/>
      <c r="K37" s="35"/>
    </row>
    <row r="38" spans="1:12" x14ac:dyDescent="0.2">
      <c r="A38" s="15" t="s">
        <v>38</v>
      </c>
      <c r="B38" s="77">
        <v>15967.688774307695</v>
      </c>
      <c r="C38" s="145">
        <v>15852.562331320549</v>
      </c>
      <c r="D38" s="146">
        <v>53.927750439030532</v>
      </c>
      <c r="E38" s="147">
        <v>854.89302522263063</v>
      </c>
      <c r="F38" s="156">
        <v>23.266193806407323</v>
      </c>
      <c r="G38" s="36"/>
      <c r="H38" s="36"/>
      <c r="I38" s="40"/>
      <c r="K38" s="35"/>
    </row>
    <row r="39" spans="1:12" x14ac:dyDescent="0.2">
      <c r="A39" s="15" t="s">
        <v>39</v>
      </c>
      <c r="B39" s="77">
        <v>35076.149495103033</v>
      </c>
      <c r="C39" s="145">
        <v>34823.251760049847</v>
      </c>
      <c r="D39" s="146">
        <v>49.568863588325264</v>
      </c>
      <c r="E39" s="147">
        <v>1726.1490161958186</v>
      </c>
      <c r="F39" s="156">
        <v>46.977711087410697</v>
      </c>
      <c r="G39" s="36"/>
      <c r="H39" s="36"/>
      <c r="I39" s="40"/>
      <c r="K39" s="35"/>
    </row>
    <row r="40" spans="1:12" x14ac:dyDescent="0.2">
      <c r="A40" s="15" t="s">
        <v>40</v>
      </c>
      <c r="B40" s="77">
        <v>24917.429617512698</v>
      </c>
      <c r="C40" s="145">
        <v>24737.7758754594</v>
      </c>
      <c r="D40" s="146">
        <v>48.141928969647488</v>
      </c>
      <c r="E40" s="147">
        <v>1190.9242490634258</v>
      </c>
      <c r="F40" s="156">
        <v>32.411393671440941</v>
      </c>
      <c r="G40" s="36"/>
      <c r="H40" s="36"/>
      <c r="I40" s="40"/>
      <c r="K40" s="35"/>
    </row>
    <row r="41" spans="1:12" x14ac:dyDescent="0.2">
      <c r="A41" s="15" t="s">
        <v>41</v>
      </c>
      <c r="B41" s="77">
        <v>74761.258085787893</v>
      </c>
      <c r="C41" s="145">
        <v>74222.232191789401</v>
      </c>
      <c r="D41" s="146">
        <v>55.728583941711221</v>
      </c>
      <c r="E41" s="147">
        <v>4136.2998970413164</v>
      </c>
      <c r="F41" s="156">
        <v>112.57075704989431</v>
      </c>
      <c r="G41" s="36"/>
      <c r="H41" s="36"/>
      <c r="I41" s="40"/>
      <c r="K41" s="35"/>
    </row>
    <row r="42" spans="1:12" x14ac:dyDescent="0.2">
      <c r="A42" s="15" t="s">
        <v>42</v>
      </c>
      <c r="B42" s="77">
        <v>118271.18578432106</v>
      </c>
      <c r="C42" s="145">
        <v>117418.45492767201</v>
      </c>
      <c r="D42" s="146">
        <v>45.239221013547073</v>
      </c>
      <c r="E42" s="147">
        <v>5311.9194335421698</v>
      </c>
      <c r="F42" s="156">
        <v>144.56562795401072</v>
      </c>
      <c r="G42" s="36"/>
      <c r="H42" s="36"/>
      <c r="I42" s="40"/>
      <c r="K42" s="35"/>
    </row>
    <row r="43" spans="1:12" x14ac:dyDescent="0.2">
      <c r="A43" s="15" t="s">
        <v>43</v>
      </c>
      <c r="B43" s="77">
        <v>32017.654587970803</v>
      </c>
      <c r="C43" s="145">
        <v>31786.808487598708</v>
      </c>
      <c r="D43" s="146">
        <v>56.970466318208544</v>
      </c>
      <c r="E43" s="147">
        <v>1810.9093023060877</v>
      </c>
      <c r="F43" s="156">
        <v>49.28449004752035</v>
      </c>
      <c r="G43" s="36"/>
      <c r="H43" s="36"/>
      <c r="I43" s="40"/>
      <c r="K43" s="35"/>
    </row>
    <row r="44" spans="1:12" x14ac:dyDescent="0.2">
      <c r="A44" s="15" t="s">
        <v>44</v>
      </c>
      <c r="B44" s="77">
        <v>139253.56196375564</v>
      </c>
      <c r="C44" s="145">
        <v>138249.54895418516</v>
      </c>
      <c r="D44" s="146">
        <v>58.172239025690224</v>
      </c>
      <c r="E44" s="147">
        <v>8042.285806956721</v>
      </c>
      <c r="F44" s="156">
        <v>218.87344347258659</v>
      </c>
      <c r="G44" s="36"/>
      <c r="H44" s="36"/>
      <c r="I44" s="40"/>
      <c r="K44" s="35"/>
    </row>
    <row r="45" spans="1:12" s="5" customFormat="1" ht="15" x14ac:dyDescent="0.25">
      <c r="A45" s="16" t="s">
        <v>45</v>
      </c>
      <c r="B45" s="81">
        <v>457700</v>
      </c>
      <c r="C45" s="81">
        <v>454399.99999999988</v>
      </c>
      <c r="D45" s="148">
        <v>52.466325916338924</v>
      </c>
      <c r="E45" s="81">
        <v>23840.698496384401</v>
      </c>
      <c r="F45" s="157">
        <v>648.83242152145658</v>
      </c>
      <c r="G45" s="37"/>
      <c r="H45" s="37"/>
      <c r="I45" s="41"/>
      <c r="K45" s="35"/>
      <c r="L45" s="1"/>
    </row>
    <row r="46" spans="1:12" x14ac:dyDescent="0.2">
      <c r="A46" s="15" t="s">
        <v>46</v>
      </c>
      <c r="B46" s="162">
        <v>960.42626408392061</v>
      </c>
      <c r="C46" s="162">
        <v>957.31808847199852</v>
      </c>
      <c r="D46" s="162">
        <v>48.240651429028226</v>
      </c>
      <c r="E46" s="162">
        <v>46.181648212681282</v>
      </c>
      <c r="F46" s="156">
        <v>1.2568486885663315</v>
      </c>
      <c r="G46" s="36"/>
      <c r="H46" s="36"/>
      <c r="I46" s="40"/>
      <c r="K46" s="35"/>
    </row>
    <row r="47" spans="1:12" x14ac:dyDescent="0.2">
      <c r="A47" s="15" t="s">
        <v>47</v>
      </c>
      <c r="B47" s="162">
        <v>55.486811475436589</v>
      </c>
      <c r="C47" s="162">
        <v>55.307242506260415</v>
      </c>
      <c r="D47" s="162">
        <v>37.38669463112376</v>
      </c>
      <c r="E47" s="162">
        <v>2.067754986471066</v>
      </c>
      <c r="F47" s="156">
        <v>5.6274629503349285E-2</v>
      </c>
      <c r="G47" s="36"/>
      <c r="H47" s="36"/>
      <c r="I47" s="40"/>
      <c r="K47" s="35"/>
    </row>
    <row r="48" spans="1:12" x14ac:dyDescent="0.2">
      <c r="A48" s="17" t="s">
        <v>48</v>
      </c>
      <c r="B48" s="162">
        <v>0</v>
      </c>
      <c r="C48" s="162">
        <v>0</v>
      </c>
      <c r="D48" s="162">
        <v>0</v>
      </c>
      <c r="E48" s="162">
        <v>0</v>
      </c>
      <c r="F48" s="156">
        <v>0</v>
      </c>
      <c r="G48" s="36"/>
      <c r="H48" s="36"/>
      <c r="I48" s="40"/>
      <c r="K48" s="35"/>
    </row>
    <row r="49" spans="1:12" x14ac:dyDescent="0.2">
      <c r="A49" s="15" t="s">
        <v>49</v>
      </c>
      <c r="B49" s="162">
        <v>0</v>
      </c>
      <c r="C49" s="162">
        <v>0</v>
      </c>
      <c r="D49" s="162">
        <v>0</v>
      </c>
      <c r="E49" s="162">
        <v>0</v>
      </c>
      <c r="F49" s="156">
        <v>0</v>
      </c>
      <c r="G49" s="36"/>
      <c r="H49" s="36"/>
      <c r="I49" s="40"/>
      <c r="K49" s="35"/>
    </row>
    <row r="50" spans="1:12" x14ac:dyDescent="0.2">
      <c r="A50" s="15" t="s">
        <v>50</v>
      </c>
      <c r="B50" s="162">
        <v>333.42529441148707</v>
      </c>
      <c r="C50" s="162">
        <v>332.34624815125574</v>
      </c>
      <c r="D50" s="162">
        <v>40.643015130717671</v>
      </c>
      <c r="E50" s="162">
        <v>13.507553592248737</v>
      </c>
      <c r="F50" s="156">
        <v>0.36761249706751409</v>
      </c>
      <c r="G50" s="36"/>
      <c r="H50" s="36"/>
      <c r="I50" s="40"/>
      <c r="K50" s="35"/>
    </row>
    <row r="51" spans="1:12" x14ac:dyDescent="0.2">
      <c r="A51" s="15" t="s">
        <v>51</v>
      </c>
      <c r="B51" s="147">
        <v>2793.5087450087985</v>
      </c>
      <c r="C51" s="145">
        <v>2784.4682636333655</v>
      </c>
      <c r="D51" s="146">
        <v>54.656037585838341</v>
      </c>
      <c r="E51" s="147">
        <v>152.18800207371925</v>
      </c>
      <c r="F51" s="156">
        <v>4.1418463442662539</v>
      </c>
      <c r="G51" s="36"/>
      <c r="H51" s="36"/>
      <c r="I51" s="40"/>
      <c r="K51" s="35"/>
    </row>
    <row r="52" spans="1:12" x14ac:dyDescent="0.2">
      <c r="A52" s="15" t="s">
        <v>52</v>
      </c>
      <c r="B52" s="147">
        <v>5971.8941914335801</v>
      </c>
      <c r="C52" s="145">
        <v>5952.5676730147006</v>
      </c>
      <c r="D52" s="146">
        <v>40.934366945325593</v>
      </c>
      <c r="E52" s="147">
        <v>243.66458939406667</v>
      </c>
      <c r="F52" s="156">
        <v>6.631411642555701</v>
      </c>
      <c r="G52" s="36"/>
      <c r="H52" s="36"/>
      <c r="I52" s="40"/>
      <c r="K52" s="35"/>
    </row>
    <row r="53" spans="1:12" x14ac:dyDescent="0.2">
      <c r="A53" s="15" t="s">
        <v>53</v>
      </c>
      <c r="B53" s="162">
        <v>1221.7187035773402</v>
      </c>
      <c r="C53" s="162">
        <v>1217.7649213651157</v>
      </c>
      <c r="D53" s="162">
        <v>35.378587821210751</v>
      </c>
      <c r="E53" s="162">
        <v>43.082803216105553</v>
      </c>
      <c r="F53" s="156">
        <v>1.1725126065780958</v>
      </c>
      <c r="G53" s="36"/>
      <c r="H53" s="36"/>
      <c r="I53" s="40"/>
      <c r="K53" s="35"/>
    </row>
    <row r="54" spans="1:12" x14ac:dyDescent="0.2">
      <c r="A54" s="15" t="s">
        <v>54</v>
      </c>
      <c r="B54" s="162">
        <v>141.2391564829295</v>
      </c>
      <c r="C54" s="162">
        <v>140.78207183411743</v>
      </c>
      <c r="D54" s="162">
        <v>22.055205034361219</v>
      </c>
      <c r="E54" s="162">
        <v>3.1049774594636297</v>
      </c>
      <c r="F54" s="156">
        <v>8.4502978975169549E-2</v>
      </c>
      <c r="G54" s="36"/>
      <c r="H54" s="36"/>
      <c r="I54" s="40"/>
      <c r="K54" s="35"/>
    </row>
    <row r="55" spans="1:12" x14ac:dyDescent="0.2">
      <c r="A55" s="15" t="s">
        <v>55</v>
      </c>
      <c r="B55" s="77">
        <v>19422.300833526508</v>
      </c>
      <c r="C55" s="145">
        <v>19359.445491023183</v>
      </c>
      <c r="D55" s="146">
        <v>41.606160013945676</v>
      </c>
      <c r="E55" s="147">
        <v>805.47218688076964</v>
      </c>
      <c r="F55" s="156">
        <v>21.921189497081691</v>
      </c>
      <c r="G55" s="36"/>
      <c r="H55" s="36"/>
      <c r="I55" s="40"/>
      <c r="K55" s="35"/>
    </row>
    <row r="56" spans="1:12" s="5" customFormat="1" ht="15" x14ac:dyDescent="0.25">
      <c r="A56" s="16" t="s">
        <v>56</v>
      </c>
      <c r="B56" s="81">
        <v>30900</v>
      </c>
      <c r="C56" s="81">
        <v>30799.999999999996</v>
      </c>
      <c r="D56" s="148">
        <v>42.508750513491101</v>
      </c>
      <c r="E56" s="81">
        <v>1309.2695158155259</v>
      </c>
      <c r="F56" s="157">
        <v>35.632198884594111</v>
      </c>
      <c r="G56" s="37"/>
      <c r="H56" s="37"/>
      <c r="I56" s="41"/>
      <c r="K56" s="35"/>
      <c r="L56" s="1"/>
    </row>
    <row r="57" spans="1:12" s="5" customFormat="1" ht="15.75" thickBot="1" x14ac:dyDescent="0.3">
      <c r="A57" s="18" t="s">
        <v>0</v>
      </c>
      <c r="B57" s="89">
        <v>3118500</v>
      </c>
      <c r="C57" s="158">
        <v>3087100</v>
      </c>
      <c r="D57" s="159">
        <v>51.8</v>
      </c>
      <c r="E57" s="160">
        <v>159911.78</v>
      </c>
      <c r="F57" s="161">
        <v>4352.0514913999568</v>
      </c>
      <c r="G57" s="37"/>
      <c r="H57" s="37"/>
      <c r="I57" s="41"/>
      <c r="K57" s="35"/>
      <c r="L57" s="1"/>
    </row>
    <row r="58" spans="1:12" s="5" customFormat="1" ht="15" x14ac:dyDescent="0.25">
      <c r="A58" s="1" t="s">
        <v>156</v>
      </c>
      <c r="B58" s="6"/>
      <c r="C58" s="6"/>
      <c r="D58" s="6"/>
      <c r="E58" s="6"/>
      <c r="F58" s="6"/>
      <c r="I58" s="42"/>
    </row>
    <row r="59" spans="1:12" ht="210.75" customHeight="1" x14ac:dyDescent="0.2">
      <c r="A59" s="23" t="s">
        <v>58</v>
      </c>
      <c r="B59" s="23"/>
      <c r="C59" s="23"/>
      <c r="D59" s="23"/>
      <c r="E59" s="23"/>
      <c r="F59" s="23"/>
    </row>
    <row r="60" spans="1:12" ht="15" x14ac:dyDescent="0.25">
      <c r="A60" s="10" t="s">
        <v>60</v>
      </c>
      <c r="B60" s="3"/>
      <c r="C60" s="3"/>
      <c r="D60" s="4"/>
      <c r="E60" s="4"/>
      <c r="F60" s="3"/>
    </row>
    <row r="61" spans="1:12" x14ac:dyDescent="0.2">
      <c r="A61" s="45">
        <v>45352</v>
      </c>
      <c r="B61" s="3"/>
      <c r="C61" s="3"/>
      <c r="D61" s="4"/>
      <c r="E61" s="4"/>
      <c r="F61" s="3"/>
    </row>
    <row r="62" spans="1:12" x14ac:dyDescent="0.2">
      <c r="A62" s="2"/>
      <c r="B62" s="3"/>
      <c r="C62" s="3"/>
      <c r="D62" s="4"/>
      <c r="E62" s="4"/>
      <c r="F62" s="3"/>
    </row>
    <row r="63" spans="1:12" x14ac:dyDescent="0.2">
      <c r="A63" s="2"/>
      <c r="B63" s="3"/>
      <c r="C63" s="3"/>
      <c r="D63" s="4"/>
      <c r="E63" s="4"/>
      <c r="F63" s="3"/>
    </row>
    <row r="64" spans="1:12" x14ac:dyDescent="0.2">
      <c r="A64" s="2"/>
      <c r="B64" s="3"/>
      <c r="C64" s="3"/>
      <c r="D64" s="4"/>
      <c r="E64" s="4"/>
      <c r="F64" s="3"/>
    </row>
    <row r="65" spans="1:6" x14ac:dyDescent="0.2">
      <c r="A65" s="2"/>
      <c r="B65" s="3"/>
      <c r="C65" s="3"/>
      <c r="D65" s="4"/>
      <c r="E65" s="4"/>
      <c r="F65" s="3"/>
    </row>
    <row r="66" spans="1:6" x14ac:dyDescent="0.2">
      <c r="A66" s="2"/>
      <c r="B66" s="3"/>
      <c r="C66" s="3"/>
      <c r="D66" s="4"/>
      <c r="E66" s="4"/>
      <c r="F66" s="3"/>
    </row>
    <row r="67" spans="1:6" x14ac:dyDescent="0.2">
      <c r="A67" s="2"/>
      <c r="B67" s="3"/>
      <c r="C67" s="3"/>
      <c r="D67" s="4"/>
      <c r="E67" s="4"/>
      <c r="F67" s="3"/>
    </row>
    <row r="68" spans="1:6" x14ac:dyDescent="0.2">
      <c r="A68" s="2"/>
      <c r="B68" s="3"/>
      <c r="C68" s="3"/>
      <c r="D68" s="4"/>
      <c r="E68" s="4"/>
      <c r="F68" s="3"/>
    </row>
    <row r="69" spans="1:6" x14ac:dyDescent="0.2">
      <c r="A69" s="2"/>
      <c r="B69" s="3"/>
      <c r="C69" s="3"/>
      <c r="D69" s="4"/>
      <c r="E69" s="4"/>
      <c r="F69" s="3"/>
    </row>
    <row r="70" spans="1:6" x14ac:dyDescent="0.2">
      <c r="A70" s="2"/>
      <c r="B70" s="3"/>
      <c r="C70" s="3"/>
      <c r="D70" s="4"/>
      <c r="E70" s="4"/>
      <c r="F70" s="3"/>
    </row>
    <row r="71" spans="1:6" x14ac:dyDescent="0.2">
      <c r="A71" s="2"/>
      <c r="B71" s="3"/>
      <c r="C71" s="3"/>
      <c r="D71" s="4"/>
      <c r="E71" s="4"/>
      <c r="F71" s="3"/>
    </row>
    <row r="72" spans="1:6" x14ac:dyDescent="0.2">
      <c r="A72" s="2"/>
      <c r="B72" s="3"/>
      <c r="C72" s="3"/>
      <c r="D72" s="4"/>
      <c r="E72" s="4"/>
      <c r="F72" s="3"/>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row>
    <row r="84" spans="1:6" x14ac:dyDescent="0.2">
      <c r="A84" s="2"/>
    </row>
    <row r="85" spans="1:6" x14ac:dyDescent="0.2">
      <c r="A85" s="2"/>
    </row>
    <row r="86" spans="1:6" x14ac:dyDescent="0.2">
      <c r="A86" s="2"/>
    </row>
    <row r="87" spans="1:6" x14ac:dyDescent="0.2">
      <c r="A8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8D549-BF52-4AF8-9526-E9372A398CC0}">
  <dimension ref="A1:L87"/>
  <sheetViews>
    <sheetView workbookViewId="0">
      <pane xSplit="1" ySplit="3" topLeftCell="B4" activePane="bottomRight" state="frozen"/>
      <selection pane="topRight" activeCell="B1" sqref="B1"/>
      <selection pane="bottomLeft" activeCell="A4" sqref="A4"/>
      <selection pane="bottomRight" sqref="A1:XFD1048576"/>
    </sheetView>
  </sheetViews>
  <sheetFormatPr defaultColWidth="9.77734375" defaultRowHeight="14.25" x14ac:dyDescent="0.2"/>
  <cols>
    <col min="1" max="1" width="34.5546875" style="1" customWidth="1"/>
    <col min="2" max="2" width="13.77734375" style="1" customWidth="1"/>
    <col min="3" max="3" width="13.109375" style="1" customWidth="1"/>
    <col min="4" max="4" width="12.77734375" style="1" customWidth="1"/>
    <col min="5" max="5" width="14.5546875" style="1" customWidth="1"/>
    <col min="6" max="6" width="14.6640625" style="1" customWidth="1"/>
    <col min="7" max="8" width="11.33203125" style="1" bestFit="1" customWidth="1"/>
    <col min="9" max="9" width="13.109375" style="38" bestFit="1" customWidth="1"/>
    <col min="10" max="10" width="9.77734375" style="1"/>
    <col min="11" max="11" width="11" style="1" customWidth="1"/>
    <col min="12" max="16384" width="9.77734375" style="1"/>
  </cols>
  <sheetData>
    <row r="1" spans="1:12" ht="18.75" thickBot="1" x14ac:dyDescent="0.3">
      <c r="A1" s="134" t="s">
        <v>162</v>
      </c>
    </row>
    <row r="2" spans="1:12" ht="15.75" thickBot="1" x14ac:dyDescent="0.3">
      <c r="A2" s="21" t="s">
        <v>163</v>
      </c>
      <c r="B2" s="22"/>
      <c r="C2" s="22"/>
      <c r="D2" s="22"/>
      <c r="E2" s="22"/>
      <c r="F2" s="22"/>
    </row>
    <row r="3" spans="1:12" s="7" customFormat="1" ht="47.25" customHeight="1" thickBot="1" x14ac:dyDescent="0.3">
      <c r="A3" s="140"/>
      <c r="B3" s="141" t="s">
        <v>59</v>
      </c>
      <c r="C3" s="141" t="s">
        <v>57</v>
      </c>
      <c r="D3" s="142" t="s">
        <v>3</v>
      </c>
      <c r="E3" s="143" t="s">
        <v>1</v>
      </c>
      <c r="F3" s="165" t="s">
        <v>2</v>
      </c>
      <c r="I3" s="39"/>
    </row>
    <row r="4" spans="1:12" x14ac:dyDescent="0.2">
      <c r="A4" s="150" t="s">
        <v>4</v>
      </c>
      <c r="B4" s="151">
        <v>42481.486709622266</v>
      </c>
      <c r="C4" s="152">
        <v>42072.168306043575</v>
      </c>
      <c r="D4" s="153">
        <v>48.963243726761569</v>
      </c>
      <c r="E4" s="154">
        <v>2059.9898308821448</v>
      </c>
      <c r="F4" s="155">
        <v>41.838393465216363</v>
      </c>
      <c r="G4" s="164"/>
      <c r="H4" s="36"/>
      <c r="I4" s="40"/>
      <c r="K4" s="35"/>
    </row>
    <row r="5" spans="1:12" x14ac:dyDescent="0.2">
      <c r="A5" s="15" t="s">
        <v>5</v>
      </c>
      <c r="B5" s="77">
        <v>264418.99861680745</v>
      </c>
      <c r="C5" s="145">
        <v>261871.26380871295</v>
      </c>
      <c r="D5" s="146">
        <v>54.014557170247244</v>
      </c>
      <c r="E5" s="147">
        <v>14144.860350240624</v>
      </c>
      <c r="F5" s="156">
        <v>287.2821137133871</v>
      </c>
      <c r="G5" s="164"/>
      <c r="H5" s="36"/>
      <c r="I5" s="40"/>
      <c r="K5" s="35"/>
    </row>
    <row r="6" spans="1:12" x14ac:dyDescent="0.2">
      <c r="A6" s="15" t="s">
        <v>6</v>
      </c>
      <c r="B6" s="77">
        <v>208710.57248838275</v>
      </c>
      <c r="C6" s="145">
        <v>206699.60053429645</v>
      </c>
      <c r="D6" s="146">
        <v>52.690005332105201</v>
      </c>
      <c r="E6" s="147">
        <v>10891.003054296096</v>
      </c>
      <c r="F6" s="156">
        <v>221.19627203275371</v>
      </c>
      <c r="G6" s="164"/>
      <c r="H6" s="36"/>
      <c r="I6" s="40"/>
      <c r="K6" s="35"/>
    </row>
    <row r="7" spans="1:12" x14ac:dyDescent="0.2">
      <c r="A7" s="15" t="s">
        <v>7</v>
      </c>
      <c r="B7" s="77">
        <v>118698.36861551987</v>
      </c>
      <c r="C7" s="145">
        <v>117554.68390690313</v>
      </c>
      <c r="D7" s="146">
        <v>48.692464037344244</v>
      </c>
      <c r="E7" s="147">
        <v>5724.0272185582508</v>
      </c>
      <c r="F7" s="156">
        <v>116.25499280891808</v>
      </c>
      <c r="G7" s="164"/>
      <c r="H7" s="36"/>
      <c r="I7" s="40"/>
      <c r="K7" s="35"/>
    </row>
    <row r="8" spans="1:12" x14ac:dyDescent="0.2">
      <c r="A8" s="15" t="s">
        <v>8</v>
      </c>
      <c r="B8" s="77">
        <v>170426.73538146878</v>
      </c>
      <c r="C8" s="145">
        <v>168784.63656015633</v>
      </c>
      <c r="D8" s="146">
        <v>45.525902319892893</v>
      </c>
      <c r="E8" s="147">
        <v>7684.0728771363001</v>
      </c>
      <c r="F8" s="156">
        <v>156.06352013463828</v>
      </c>
      <c r="G8" s="164"/>
      <c r="H8" s="36"/>
      <c r="I8" s="40"/>
      <c r="K8" s="35"/>
    </row>
    <row r="9" spans="1:12" x14ac:dyDescent="0.2">
      <c r="A9" s="15" t="s">
        <v>9</v>
      </c>
      <c r="B9" s="77">
        <v>30275.350604355332</v>
      </c>
      <c r="C9" s="145">
        <v>29983.640988308558</v>
      </c>
      <c r="D9" s="146">
        <v>47.688403014790858</v>
      </c>
      <c r="E9" s="147">
        <v>1429.8719553012606</v>
      </c>
      <c r="F9" s="156">
        <v>29.040699412168607</v>
      </c>
      <c r="G9" s="164"/>
      <c r="H9" s="36"/>
      <c r="I9" s="40"/>
      <c r="K9" s="35"/>
    </row>
    <row r="10" spans="1:12" x14ac:dyDescent="0.2">
      <c r="A10" s="15" t="s">
        <v>10</v>
      </c>
      <c r="B10" s="77">
        <v>271582.88384957449</v>
      </c>
      <c r="C10" s="145">
        <v>268966.12344247161</v>
      </c>
      <c r="D10" s="146">
        <v>45.391676211578904</v>
      </c>
      <c r="E10" s="147">
        <v>12208.823187184233</v>
      </c>
      <c r="F10" s="156">
        <v>247.96119893171178</v>
      </c>
      <c r="G10" s="164"/>
      <c r="H10" s="36"/>
      <c r="I10" s="40"/>
      <c r="K10" s="35"/>
    </row>
    <row r="11" spans="1:12" x14ac:dyDescent="0.2">
      <c r="A11" s="15" t="s">
        <v>11</v>
      </c>
      <c r="B11" s="77">
        <v>183351.91225083746</v>
      </c>
      <c r="C11" s="145">
        <v>181585.27652717257</v>
      </c>
      <c r="D11" s="146">
        <v>47.474573175529493</v>
      </c>
      <c r="E11" s="147">
        <v>8620.6834980880121</v>
      </c>
      <c r="F11" s="156">
        <v>175.08608184616753</v>
      </c>
      <c r="G11" s="164"/>
      <c r="H11" s="36"/>
      <c r="I11" s="40"/>
      <c r="K11" s="35"/>
    </row>
    <row r="12" spans="1:12" x14ac:dyDescent="0.2">
      <c r="A12" s="15" t="s">
        <v>12</v>
      </c>
      <c r="B12" s="77">
        <v>94823.250724226731</v>
      </c>
      <c r="C12" s="145">
        <v>93909.607991478595</v>
      </c>
      <c r="D12" s="146">
        <v>43.021536119426735</v>
      </c>
      <c r="E12" s="147">
        <v>4040.1355921666022</v>
      </c>
      <c r="F12" s="156">
        <v>82.055153876903702</v>
      </c>
      <c r="G12" s="164"/>
      <c r="H12" s="36"/>
      <c r="I12" s="40"/>
      <c r="K12" s="35"/>
    </row>
    <row r="13" spans="1:12" x14ac:dyDescent="0.2">
      <c r="A13" s="15" t="s">
        <v>13</v>
      </c>
      <c r="B13" s="77">
        <v>73826.555258898588</v>
      </c>
      <c r="C13" s="145">
        <v>73115.220273217827</v>
      </c>
      <c r="D13" s="146">
        <v>53.217063678075867</v>
      </c>
      <c r="E13" s="147">
        <v>3890.9773331163769</v>
      </c>
      <c r="F13" s="156">
        <v>79.025749635593627</v>
      </c>
      <c r="G13" s="164"/>
      <c r="H13" s="36"/>
      <c r="I13" s="40"/>
      <c r="K13" s="35"/>
    </row>
    <row r="14" spans="1:12" s="5" customFormat="1" ht="15" x14ac:dyDescent="0.25">
      <c r="A14" s="16" t="s">
        <v>14</v>
      </c>
      <c r="B14" s="81">
        <v>1458596.1144996937</v>
      </c>
      <c r="C14" s="81">
        <v>1444542.2223387619</v>
      </c>
      <c r="D14" s="148">
        <v>48.93899520812429</v>
      </c>
      <c r="E14" s="81">
        <v>70694.444896969886</v>
      </c>
      <c r="F14" s="157">
        <v>1435.8041758574584</v>
      </c>
      <c r="G14" s="164"/>
      <c r="H14" s="37"/>
      <c r="I14" s="41"/>
      <c r="K14" s="35"/>
      <c r="L14" s="1"/>
    </row>
    <row r="15" spans="1:12" x14ac:dyDescent="0.2">
      <c r="A15" s="15" t="s">
        <v>15</v>
      </c>
      <c r="B15" s="77">
        <v>119287.22241110839</v>
      </c>
      <c r="C15" s="145">
        <v>118811.40495379691</v>
      </c>
      <c r="D15" s="146">
        <v>53.29910426219741</v>
      </c>
      <c r="E15" s="147">
        <v>6332.5414601705788</v>
      </c>
      <c r="F15" s="156">
        <v>128.61391705606448</v>
      </c>
      <c r="G15" s="164"/>
      <c r="H15" s="36"/>
      <c r="I15" s="40"/>
      <c r="K15" s="35"/>
    </row>
    <row r="16" spans="1:12" x14ac:dyDescent="0.2">
      <c r="A16" s="15" t="s">
        <v>16</v>
      </c>
      <c r="B16" s="77">
        <v>30503.01343052325</v>
      </c>
      <c r="C16" s="145">
        <v>30381.341838231248</v>
      </c>
      <c r="D16" s="146">
        <v>49.302122383745463</v>
      </c>
      <c r="E16" s="147">
        <v>1497.8646334908833</v>
      </c>
      <c r="F16" s="156">
        <v>30.421630706199842</v>
      </c>
      <c r="G16" s="164"/>
      <c r="H16" s="36"/>
      <c r="I16" s="40"/>
      <c r="K16" s="35"/>
    </row>
    <row r="17" spans="1:12" x14ac:dyDescent="0.2">
      <c r="A17" s="15" t="s">
        <v>17</v>
      </c>
      <c r="B17" s="77">
        <v>53054.597898737564</v>
      </c>
      <c r="C17" s="145">
        <v>52842.971679595168</v>
      </c>
      <c r="D17" s="146">
        <v>49.29625347841489</v>
      </c>
      <c r="E17" s="147">
        <v>2604.9605264700226</v>
      </c>
      <c r="F17" s="156">
        <v>52.906748292606167</v>
      </c>
      <c r="G17" s="164"/>
      <c r="H17" s="36"/>
      <c r="I17" s="40"/>
      <c r="K17" s="35"/>
    </row>
    <row r="18" spans="1:12" x14ac:dyDescent="0.2">
      <c r="A18" s="15" t="s">
        <v>18</v>
      </c>
      <c r="B18" s="77">
        <v>25521.159316025602</v>
      </c>
      <c r="C18" s="145">
        <v>25419.359534892785</v>
      </c>
      <c r="D18" s="146">
        <v>47.598014069548213</v>
      </c>
      <c r="E18" s="147">
        <v>1209.9110327807314</v>
      </c>
      <c r="F18" s="156">
        <v>24.573293075776657</v>
      </c>
      <c r="G18" s="164"/>
      <c r="H18" s="36"/>
      <c r="I18" s="40"/>
      <c r="K18" s="35"/>
    </row>
    <row r="19" spans="1:12" x14ac:dyDescent="0.2">
      <c r="A19" s="15" t="s">
        <v>19</v>
      </c>
      <c r="B19" s="77">
        <v>232166.55967353439</v>
      </c>
      <c r="C19" s="145">
        <v>231240.48477746631</v>
      </c>
      <c r="D19" s="146">
        <v>53.998829124027026</v>
      </c>
      <c r="E19" s="147">
        <v>12486.715424055576</v>
      </c>
      <c r="F19" s="156">
        <v>339.83005181949642</v>
      </c>
      <c r="G19" s="164"/>
      <c r="H19" s="36"/>
      <c r="I19" s="40"/>
      <c r="K19" s="35"/>
    </row>
    <row r="20" spans="1:12" x14ac:dyDescent="0.2">
      <c r="A20" s="15" t="s">
        <v>20</v>
      </c>
      <c r="B20" s="77">
        <v>29675.684591343022</v>
      </c>
      <c r="C20" s="145">
        <v>29557.313080121417</v>
      </c>
      <c r="D20" s="146">
        <v>48.633059479795648</v>
      </c>
      <c r="E20" s="147">
        <v>1437.4625650884868</v>
      </c>
      <c r="F20" s="156">
        <v>39.121014725900466</v>
      </c>
      <c r="G20" s="164"/>
      <c r="H20" s="36"/>
      <c r="I20" s="40"/>
      <c r="K20" s="35"/>
    </row>
    <row r="21" spans="1:12" x14ac:dyDescent="0.2">
      <c r="A21" s="15" t="s">
        <v>21</v>
      </c>
      <c r="B21" s="77">
        <v>114663.88692905458</v>
      </c>
      <c r="C21" s="145">
        <v>114206.51121000227</v>
      </c>
      <c r="D21" s="146">
        <v>55.245461826997641</v>
      </c>
      <c r="E21" s="147">
        <v>6309.3914554467583</v>
      </c>
      <c r="F21" s="156">
        <v>171.71215587434025</v>
      </c>
      <c r="G21" s="164"/>
      <c r="H21" s="36"/>
      <c r="I21" s="40"/>
      <c r="K21" s="35"/>
    </row>
    <row r="22" spans="1:12" x14ac:dyDescent="0.2">
      <c r="A22" s="15" t="s">
        <v>22</v>
      </c>
      <c r="B22" s="77">
        <v>107355.24988014381</v>
      </c>
      <c r="C22" s="145">
        <v>106927.02713344456</v>
      </c>
      <c r="D22" s="146">
        <v>49.221892742040204</v>
      </c>
      <c r="E22" s="147">
        <v>5263.1506607876308</v>
      </c>
      <c r="F22" s="156">
        <v>143.23836982330803</v>
      </c>
      <c r="G22" s="164"/>
      <c r="H22" s="36"/>
      <c r="I22" s="40"/>
      <c r="K22" s="35"/>
    </row>
    <row r="23" spans="1:12" x14ac:dyDescent="0.2">
      <c r="A23" s="15" t="s">
        <v>23</v>
      </c>
      <c r="B23" s="77">
        <v>24303.466778217055</v>
      </c>
      <c r="C23" s="145">
        <v>24206.524175878545</v>
      </c>
      <c r="D23" s="146">
        <v>56.409972573912079</v>
      </c>
      <c r="E23" s="147">
        <v>1365.4893648710483</v>
      </c>
      <c r="F23" s="156">
        <v>37.162240498341184</v>
      </c>
      <c r="G23" s="164"/>
      <c r="H23" s="36"/>
      <c r="I23" s="40"/>
      <c r="K23" s="35"/>
    </row>
    <row r="24" spans="1:12" x14ac:dyDescent="0.2">
      <c r="A24" s="15" t="s">
        <v>24</v>
      </c>
      <c r="B24" s="77">
        <v>92534.182309476557</v>
      </c>
      <c r="C24" s="145">
        <v>92165.078406720306</v>
      </c>
      <c r="D24" s="146">
        <v>52.1533842254604</v>
      </c>
      <c r="E24" s="147">
        <v>4806.7207463153673</v>
      </c>
      <c r="F24" s="156">
        <v>130.81648014139361</v>
      </c>
      <c r="G24" s="164"/>
      <c r="H24" s="36"/>
      <c r="I24" s="40"/>
      <c r="K24" s="35"/>
    </row>
    <row r="25" spans="1:12" s="5" customFormat="1" ht="15" x14ac:dyDescent="0.25">
      <c r="A25" s="16" t="s">
        <v>25</v>
      </c>
      <c r="B25" s="81">
        <v>829065.02321816422</v>
      </c>
      <c r="C25" s="81">
        <v>825758.01679014938</v>
      </c>
      <c r="D25" s="148">
        <v>52.453875092664795</v>
      </c>
      <c r="E25" s="81">
        <v>43314.20786947709</v>
      </c>
      <c r="F25" s="157">
        <v>1178.810360044554</v>
      </c>
      <c r="G25" s="164"/>
      <c r="H25" s="37"/>
      <c r="I25" s="41"/>
      <c r="K25" s="35"/>
      <c r="L25" s="1"/>
    </row>
    <row r="26" spans="1:12" x14ac:dyDescent="0.2">
      <c r="A26" s="15" t="s">
        <v>26</v>
      </c>
      <c r="B26" s="77">
        <v>60562.965014557783</v>
      </c>
      <c r="C26" s="145">
        <v>59739.698717728788</v>
      </c>
      <c r="D26" s="146">
        <v>48.662305132776439</v>
      </c>
      <c r="E26" s="147">
        <v>2907.0714475422515</v>
      </c>
      <c r="F26" s="156">
        <v>79.116902012362601</v>
      </c>
      <c r="G26" s="164"/>
      <c r="H26" s="36"/>
      <c r="I26" s="40"/>
      <c r="K26" s="35"/>
    </row>
    <row r="27" spans="1:12" x14ac:dyDescent="0.2">
      <c r="A27" s="15" t="s">
        <v>27</v>
      </c>
      <c r="B27" s="162">
        <v>0</v>
      </c>
      <c r="C27" s="162">
        <v>0</v>
      </c>
      <c r="D27" s="162">
        <v>0</v>
      </c>
      <c r="E27" s="162">
        <v>0</v>
      </c>
      <c r="F27" s="156">
        <v>0</v>
      </c>
      <c r="G27" s="164"/>
      <c r="H27" s="36"/>
      <c r="I27" s="40"/>
      <c r="K27" s="35"/>
    </row>
    <row r="28" spans="1:12" x14ac:dyDescent="0.2">
      <c r="A28" s="15" t="s">
        <v>28</v>
      </c>
      <c r="B28" s="77">
        <v>31440.436128279576</v>
      </c>
      <c r="C28" s="145">
        <v>31013.048674316655</v>
      </c>
      <c r="D28" s="146">
        <v>46.37872560708734</v>
      </c>
      <c r="E28" s="147">
        <v>1438.3456747053758</v>
      </c>
      <c r="F28" s="156">
        <v>39.145048843494877</v>
      </c>
      <c r="G28" s="164"/>
      <c r="H28" s="36"/>
      <c r="I28" s="40"/>
      <c r="K28" s="35"/>
    </row>
    <row r="29" spans="1:12" x14ac:dyDescent="0.2">
      <c r="A29" s="15" t="s">
        <v>29</v>
      </c>
      <c r="B29" s="77">
        <v>41761.6718390881</v>
      </c>
      <c r="C29" s="145">
        <v>41193.982048535581</v>
      </c>
      <c r="D29" s="146">
        <v>45.117370918000582</v>
      </c>
      <c r="E29" s="147">
        <v>1858.5641676732371</v>
      </c>
      <c r="F29" s="156">
        <v>50.581432823678341</v>
      </c>
      <c r="G29" s="164"/>
      <c r="H29" s="36"/>
      <c r="I29" s="40"/>
      <c r="K29" s="35"/>
    </row>
    <row r="30" spans="1:12" x14ac:dyDescent="0.2">
      <c r="A30" s="15" t="s">
        <v>30</v>
      </c>
      <c r="B30" s="149">
        <v>0</v>
      </c>
      <c r="C30" s="149">
        <v>0</v>
      </c>
      <c r="D30" s="149">
        <v>0</v>
      </c>
      <c r="E30" s="149">
        <v>0</v>
      </c>
      <c r="F30" s="156">
        <v>0</v>
      </c>
      <c r="G30" s="164"/>
      <c r="H30" s="36"/>
      <c r="I30" s="40"/>
      <c r="K30" s="35"/>
    </row>
    <row r="31" spans="1:12" x14ac:dyDescent="0.2">
      <c r="A31" s="15" t="s">
        <v>31</v>
      </c>
      <c r="B31" s="77">
        <v>39766.826297503161</v>
      </c>
      <c r="C31" s="145">
        <v>39226.253559449171</v>
      </c>
      <c r="D31" s="146">
        <v>45.624299898251948</v>
      </c>
      <c r="E31" s="147">
        <v>1789.670356281182</v>
      </c>
      <c r="F31" s="156">
        <v>48.706465172033042</v>
      </c>
      <c r="G31" s="164"/>
      <c r="H31" s="36"/>
      <c r="I31" s="40"/>
      <c r="K31" s="35"/>
    </row>
    <row r="32" spans="1:12" x14ac:dyDescent="0.2">
      <c r="A32" s="15" t="s">
        <v>32</v>
      </c>
      <c r="B32" s="162">
        <v>0</v>
      </c>
      <c r="C32" s="162">
        <v>0</v>
      </c>
      <c r="D32" s="162">
        <v>0</v>
      </c>
      <c r="E32" s="162">
        <v>0</v>
      </c>
      <c r="F32" s="156">
        <v>0</v>
      </c>
      <c r="G32" s="164"/>
      <c r="H32" s="36"/>
      <c r="I32" s="40"/>
      <c r="K32" s="35"/>
    </row>
    <row r="33" spans="1:12" x14ac:dyDescent="0.2">
      <c r="A33" s="15" t="s">
        <v>33</v>
      </c>
      <c r="B33" s="77">
        <v>29146.411964184623</v>
      </c>
      <c r="C33" s="145">
        <v>28750.20846526678</v>
      </c>
      <c r="D33" s="146">
        <v>45.161771490981735</v>
      </c>
      <c r="E33" s="147">
        <v>1298.410345026467</v>
      </c>
      <c r="F33" s="156">
        <v>35.336662993317738</v>
      </c>
      <c r="G33" s="164"/>
      <c r="H33" s="36"/>
      <c r="I33" s="40"/>
      <c r="K33" s="35"/>
    </row>
    <row r="34" spans="1:12" x14ac:dyDescent="0.2">
      <c r="A34" s="15" t="s">
        <v>34</v>
      </c>
      <c r="B34" s="77">
        <v>25333.923519273379</v>
      </c>
      <c r="C34" s="145">
        <v>24989.545310662757</v>
      </c>
      <c r="D34" s="146">
        <v>52.842380297370454</v>
      </c>
      <c r="E34" s="147">
        <v>1320.507056764412</v>
      </c>
      <c r="F34" s="156">
        <v>35.938032243751685</v>
      </c>
      <c r="G34" s="36"/>
      <c r="H34" s="36"/>
      <c r="I34" s="40"/>
      <c r="K34" s="35"/>
    </row>
    <row r="35" spans="1:12" x14ac:dyDescent="0.2">
      <c r="A35" s="15" t="s">
        <v>35</v>
      </c>
      <c r="B35" s="77">
        <v>25397.938387255494</v>
      </c>
      <c r="C35" s="145">
        <v>25052.689988698046</v>
      </c>
      <c r="D35" s="146">
        <v>45.966631985007737</v>
      </c>
      <c r="E35" s="147">
        <v>1151.5877809449707</v>
      </c>
      <c r="F35" s="156">
        <v>31.340838802116558</v>
      </c>
      <c r="G35" s="36"/>
      <c r="H35" s="36"/>
      <c r="I35" s="40"/>
      <c r="K35" s="35"/>
    </row>
    <row r="36" spans="1:12" s="5" customFormat="1" ht="15" x14ac:dyDescent="0.25">
      <c r="A36" s="16" t="s">
        <v>36</v>
      </c>
      <c r="B36" s="81">
        <v>253410.17315014213</v>
      </c>
      <c r="C36" s="81">
        <v>249965.42676465778</v>
      </c>
      <c r="D36" s="148">
        <v>47.063135815233515</v>
      </c>
      <c r="E36" s="81">
        <v>11764.156828937896</v>
      </c>
      <c r="F36" s="157">
        <v>320.16538289075481</v>
      </c>
      <c r="G36" s="37"/>
      <c r="H36" s="37"/>
      <c r="I36" s="41"/>
      <c r="K36" s="35"/>
      <c r="L36" s="1"/>
    </row>
    <row r="37" spans="1:12" x14ac:dyDescent="0.2">
      <c r="A37" s="15" t="s">
        <v>37</v>
      </c>
      <c r="B37" s="77">
        <v>15524.052361998722</v>
      </c>
      <c r="C37" s="145">
        <v>15295.242179263163</v>
      </c>
      <c r="D37" s="146">
        <v>47.059802322907558</v>
      </c>
      <c r="E37" s="147">
        <v>719.79107343712224</v>
      </c>
      <c r="F37" s="156">
        <v>19.589349919364309</v>
      </c>
      <c r="G37" s="36"/>
      <c r="H37" s="36"/>
      <c r="I37" s="40"/>
      <c r="K37" s="35"/>
    </row>
    <row r="38" spans="1:12" x14ac:dyDescent="0.2">
      <c r="A38" s="15" t="s">
        <v>38</v>
      </c>
      <c r="B38" s="77">
        <v>14598.916188507585</v>
      </c>
      <c r="C38" s="145">
        <v>14383.741657854078</v>
      </c>
      <c r="D38" s="146">
        <v>51.94278500136479</v>
      </c>
      <c r="E38" s="147">
        <v>747.13160044908875</v>
      </c>
      <c r="F38" s="156">
        <v>20.333431320735052</v>
      </c>
      <c r="G38" s="36"/>
      <c r="H38" s="36"/>
      <c r="I38" s="40"/>
      <c r="K38" s="35"/>
    </row>
    <row r="39" spans="1:12" x14ac:dyDescent="0.2">
      <c r="A39" s="15" t="s">
        <v>39</v>
      </c>
      <c r="B39" s="77">
        <v>30628.031472234732</v>
      </c>
      <c r="C39" s="145">
        <v>30176.602598215515</v>
      </c>
      <c r="D39" s="146">
        <v>47.549436165447013</v>
      </c>
      <c r="E39" s="147">
        <v>1434.8804389339111</v>
      </c>
      <c r="F39" s="156">
        <v>39.050741316511839</v>
      </c>
      <c r="G39" s="36"/>
      <c r="H39" s="36"/>
      <c r="I39" s="40"/>
      <c r="K39" s="35"/>
    </row>
    <row r="40" spans="1:12" x14ac:dyDescent="0.2">
      <c r="A40" s="15" t="s">
        <v>40</v>
      </c>
      <c r="B40" s="77">
        <v>19845.902755088773</v>
      </c>
      <c r="C40" s="145">
        <v>19553.392492300703</v>
      </c>
      <c r="D40" s="146">
        <v>48.373075902859924</v>
      </c>
      <c r="E40" s="147">
        <v>945.85773918847337</v>
      </c>
      <c r="F40" s="156">
        <v>25.741828303627077</v>
      </c>
      <c r="G40" s="36"/>
      <c r="H40" s="36"/>
      <c r="I40" s="40"/>
      <c r="K40" s="35"/>
    </row>
    <row r="41" spans="1:12" x14ac:dyDescent="0.2">
      <c r="A41" s="15" t="s">
        <v>41</v>
      </c>
      <c r="B41" s="77">
        <v>69138.129783795477</v>
      </c>
      <c r="C41" s="145">
        <v>68119.097656040642</v>
      </c>
      <c r="D41" s="146">
        <v>52.551591052355036</v>
      </c>
      <c r="E41" s="147">
        <v>3579.7669628756844</v>
      </c>
      <c r="F41" s="156">
        <v>97.424530886013613</v>
      </c>
      <c r="G41" s="36"/>
      <c r="H41" s="36"/>
      <c r="I41" s="40"/>
      <c r="K41" s="35"/>
    </row>
    <row r="42" spans="1:12" x14ac:dyDescent="0.2">
      <c r="A42" s="15" t="s">
        <v>42</v>
      </c>
      <c r="B42" s="77">
        <v>110833.13104289395</v>
      </c>
      <c r="C42" s="145">
        <v>109199.55313580335</v>
      </c>
      <c r="D42" s="146">
        <v>48.345957877575415</v>
      </c>
      <c r="E42" s="147">
        <v>5279.3569961536068</v>
      </c>
      <c r="F42" s="156">
        <v>143.67943055066425</v>
      </c>
      <c r="G42" s="36"/>
      <c r="H42" s="36"/>
      <c r="I42" s="40"/>
      <c r="K42" s="35"/>
    </row>
    <row r="43" spans="1:12" x14ac:dyDescent="0.2">
      <c r="A43" s="15" t="s">
        <v>43</v>
      </c>
      <c r="B43" s="77">
        <v>29568.367450980164</v>
      </c>
      <c r="C43" s="145">
        <v>29132.55704517322</v>
      </c>
      <c r="D43" s="146">
        <v>42.723674090713736</v>
      </c>
      <c r="E43" s="147">
        <v>1244.649872627107</v>
      </c>
      <c r="F43" s="156">
        <v>33.873554121138334</v>
      </c>
      <c r="G43" s="36"/>
      <c r="H43" s="36"/>
      <c r="I43" s="40"/>
      <c r="K43" s="35"/>
    </row>
    <row r="44" spans="1:12" x14ac:dyDescent="0.2">
      <c r="A44" s="15" t="s">
        <v>44</v>
      </c>
      <c r="B44" s="77">
        <v>131323.43061316002</v>
      </c>
      <c r="C44" s="145">
        <v>129387.84462984987</v>
      </c>
      <c r="D44" s="146">
        <v>54.851913802191504</v>
      </c>
      <c r="E44" s="147">
        <v>7097.1709006878727</v>
      </c>
      <c r="F44" s="156">
        <v>193.15183161027304</v>
      </c>
      <c r="G44" s="36"/>
      <c r="H44" s="36"/>
      <c r="I44" s="40"/>
      <c r="K44" s="35"/>
    </row>
    <row r="45" spans="1:12" s="5" customFormat="1" ht="15" x14ac:dyDescent="0.25">
      <c r="A45" s="16" t="s">
        <v>45</v>
      </c>
      <c r="B45" s="81">
        <v>421459.96166865941</v>
      </c>
      <c r="C45" s="81">
        <v>415248.03139450058</v>
      </c>
      <c r="D45" s="148">
        <v>50.689236294911971</v>
      </c>
      <c r="E45" s="81">
        <v>21048.605584352867</v>
      </c>
      <c r="F45" s="157">
        <v>572.84469802832757</v>
      </c>
      <c r="G45" s="37"/>
      <c r="H45" s="37"/>
      <c r="I45" s="41"/>
      <c r="K45" s="35"/>
      <c r="L45" s="1"/>
    </row>
    <row r="46" spans="1:12" x14ac:dyDescent="0.2">
      <c r="A46" s="15" t="s">
        <v>46</v>
      </c>
      <c r="B46" s="162">
        <v>1859.4237272566243</v>
      </c>
      <c r="C46" s="162">
        <v>1729.2833337853529</v>
      </c>
      <c r="D46" s="162">
        <v>52.908022118834197</v>
      </c>
      <c r="E46" s="162">
        <v>91.492960873646794</v>
      </c>
      <c r="F46" s="156">
        <v>2.4900109099076526</v>
      </c>
      <c r="G46" s="36"/>
      <c r="H46" s="36"/>
      <c r="I46" s="40"/>
      <c r="K46" s="35"/>
    </row>
    <row r="47" spans="1:12" x14ac:dyDescent="0.2">
      <c r="A47" s="15" t="s">
        <v>47</v>
      </c>
      <c r="B47" s="162">
        <v>0</v>
      </c>
      <c r="C47" s="162">
        <v>0</v>
      </c>
      <c r="D47" s="162">
        <v>0</v>
      </c>
      <c r="E47" s="162">
        <v>0</v>
      </c>
      <c r="F47" s="156">
        <v>0</v>
      </c>
      <c r="G47" s="36"/>
      <c r="H47" s="36"/>
      <c r="I47" s="40"/>
      <c r="K47" s="35"/>
    </row>
    <row r="48" spans="1:12" x14ac:dyDescent="0.2">
      <c r="A48" s="17" t="s">
        <v>48</v>
      </c>
      <c r="B48" s="162">
        <v>0</v>
      </c>
      <c r="C48" s="162">
        <v>0</v>
      </c>
      <c r="D48" s="162">
        <v>0</v>
      </c>
      <c r="E48" s="162">
        <v>0</v>
      </c>
      <c r="F48" s="156">
        <v>0</v>
      </c>
      <c r="G48" s="36"/>
      <c r="H48" s="36"/>
      <c r="I48" s="40"/>
      <c r="K48" s="35"/>
    </row>
    <row r="49" spans="1:12" x14ac:dyDescent="0.2">
      <c r="A49" s="15" t="s">
        <v>49</v>
      </c>
      <c r="B49" s="162">
        <v>0</v>
      </c>
      <c r="C49" s="162">
        <v>0</v>
      </c>
      <c r="D49" s="162">
        <v>0</v>
      </c>
      <c r="E49" s="162">
        <v>0</v>
      </c>
      <c r="F49" s="156">
        <v>0</v>
      </c>
      <c r="G49" s="36"/>
      <c r="H49" s="36"/>
      <c r="I49" s="40"/>
      <c r="K49" s="35"/>
    </row>
    <row r="50" spans="1:12" x14ac:dyDescent="0.2">
      <c r="A50" s="15" t="s">
        <v>50</v>
      </c>
      <c r="B50" s="162">
        <v>169.40230513743995</v>
      </c>
      <c r="C50" s="162">
        <v>157.54589913252497</v>
      </c>
      <c r="D50" s="162">
        <v>20.684193981050832</v>
      </c>
      <c r="E50" s="162">
        <v>3.2587099385762146</v>
      </c>
      <c r="F50" s="156">
        <v>8.8686858768131246E-2</v>
      </c>
      <c r="G50" s="36"/>
      <c r="H50" s="36"/>
      <c r="I50" s="40"/>
      <c r="K50" s="35"/>
    </row>
    <row r="51" spans="1:12" x14ac:dyDescent="0.2">
      <c r="A51" s="15" t="s">
        <v>51</v>
      </c>
      <c r="B51" s="147">
        <v>3199.2358957235656</v>
      </c>
      <c r="C51" s="145">
        <v>2975.3225336567284</v>
      </c>
      <c r="D51" s="146">
        <v>55.500252017266888</v>
      </c>
      <c r="E51" s="147">
        <v>165.13115045060147</v>
      </c>
      <c r="F51" s="156">
        <v>4.4940983684574753</v>
      </c>
      <c r="G51" s="36"/>
      <c r="H51" s="36"/>
      <c r="I51" s="40"/>
      <c r="K51" s="35"/>
    </row>
    <row r="52" spans="1:12" x14ac:dyDescent="0.2">
      <c r="A52" s="15" t="s">
        <v>52</v>
      </c>
      <c r="B52" s="147">
        <v>7269.0929297401017</v>
      </c>
      <c r="C52" s="145">
        <v>6760.3317473433717</v>
      </c>
      <c r="D52" s="146">
        <v>53.724619558496556</v>
      </c>
      <c r="E52" s="147">
        <v>363.19625121524888</v>
      </c>
      <c r="F52" s="156">
        <v>9.8845049862630336</v>
      </c>
      <c r="G52" s="36"/>
      <c r="H52" s="36"/>
      <c r="I52" s="40"/>
      <c r="K52" s="35"/>
    </row>
    <row r="53" spans="1:12" x14ac:dyDescent="0.2">
      <c r="A53" s="15" t="s">
        <v>53</v>
      </c>
      <c r="B53" s="162">
        <v>1123.1239442970427</v>
      </c>
      <c r="C53" s="162">
        <v>1044.5169060597325</v>
      </c>
      <c r="D53" s="162">
        <v>39.901685239880273</v>
      </c>
      <c r="E53" s="162">
        <v>41.677984813329033</v>
      </c>
      <c r="F53" s="156">
        <v>1.1342800134261113</v>
      </c>
      <c r="G53" s="36"/>
      <c r="H53" s="36"/>
      <c r="I53" s="40"/>
      <c r="K53" s="35"/>
    </row>
    <row r="54" spans="1:12" x14ac:dyDescent="0.2">
      <c r="A54" s="15" t="s">
        <v>54</v>
      </c>
      <c r="B54" s="162">
        <v>0</v>
      </c>
      <c r="C54" s="162">
        <v>0</v>
      </c>
      <c r="D54" s="162">
        <v>0</v>
      </c>
      <c r="E54" s="162">
        <v>0</v>
      </c>
      <c r="F54" s="156">
        <v>0</v>
      </c>
      <c r="G54" s="36"/>
      <c r="H54" s="36"/>
      <c r="I54" s="40"/>
      <c r="K54" s="35"/>
    </row>
    <row r="55" spans="1:12" x14ac:dyDescent="0.2">
      <c r="A55" s="15" t="s">
        <v>55</v>
      </c>
      <c r="B55" s="77">
        <v>25476.439347147967</v>
      </c>
      <c r="C55" s="145">
        <v>23693.35258091825</v>
      </c>
      <c r="D55" s="146">
        <v>35.739644329997617</v>
      </c>
      <c r="E55" s="147">
        <v>846.79199422724946</v>
      </c>
      <c r="F55" s="156">
        <v>23.045721593382577</v>
      </c>
      <c r="G55" s="36"/>
      <c r="H55" s="36"/>
      <c r="I55" s="40"/>
      <c r="K55" s="35"/>
    </row>
    <row r="56" spans="1:12" s="5" customFormat="1" ht="15" x14ac:dyDescent="0.25">
      <c r="A56" s="16" t="s">
        <v>56</v>
      </c>
      <c r="B56" s="81">
        <v>39096.718149302746</v>
      </c>
      <c r="C56" s="81">
        <v>36360.353000895964</v>
      </c>
      <c r="D56" s="148">
        <v>41.571352497083993</v>
      </c>
      <c r="E56" s="81">
        <v>1511.5490515186518</v>
      </c>
      <c r="F56" s="157">
        <v>41.137302730204979</v>
      </c>
      <c r="G56" s="37"/>
      <c r="H56" s="37"/>
      <c r="I56" s="41"/>
      <c r="K56" s="35"/>
      <c r="L56" s="1"/>
    </row>
    <row r="57" spans="1:12" s="5" customFormat="1" ht="15.75" thickBot="1" x14ac:dyDescent="0.3">
      <c r="A57" s="18" t="s">
        <v>0</v>
      </c>
      <c r="B57" s="89">
        <v>3001627.9906859621</v>
      </c>
      <c r="C57" s="158">
        <v>2971874.0502889659</v>
      </c>
      <c r="D57" s="159">
        <v>49.881905320175271</v>
      </c>
      <c r="E57" s="160">
        <v>148242.74</v>
      </c>
      <c r="F57" s="161">
        <v>4034.4747441759196</v>
      </c>
      <c r="G57" s="37"/>
      <c r="H57" s="37"/>
      <c r="I57" s="41"/>
      <c r="K57" s="35"/>
      <c r="L57" s="1"/>
    </row>
    <row r="58" spans="1:12" s="5" customFormat="1" ht="15" x14ac:dyDescent="0.25">
      <c r="A58" s="1" t="s">
        <v>156</v>
      </c>
      <c r="B58" s="6"/>
      <c r="C58" s="6"/>
      <c r="D58" s="6"/>
      <c r="E58" s="6"/>
      <c r="F58" s="6"/>
      <c r="I58" s="42"/>
    </row>
    <row r="59" spans="1:12" ht="210.75" customHeight="1" x14ac:dyDescent="0.2">
      <c r="A59" s="23" t="s">
        <v>58</v>
      </c>
      <c r="B59" s="23"/>
      <c r="C59" s="23"/>
      <c r="D59" s="23"/>
      <c r="E59" s="23"/>
      <c r="F59" s="23"/>
    </row>
    <row r="60" spans="1:12" ht="15" x14ac:dyDescent="0.25">
      <c r="A60" s="10" t="s">
        <v>60</v>
      </c>
      <c r="B60" s="3"/>
      <c r="C60" s="3"/>
      <c r="D60" s="4"/>
      <c r="E60" s="4"/>
      <c r="F60" s="3"/>
    </row>
    <row r="61" spans="1:12" x14ac:dyDescent="0.2">
      <c r="A61" s="45">
        <v>45352</v>
      </c>
      <c r="B61" s="3"/>
      <c r="C61" s="3"/>
      <c r="D61" s="4"/>
      <c r="E61" s="4"/>
      <c r="F61" s="3"/>
    </row>
    <row r="62" spans="1:12" x14ac:dyDescent="0.2">
      <c r="A62" s="2"/>
      <c r="B62" s="3"/>
      <c r="C62" s="3"/>
      <c r="D62" s="4"/>
      <c r="E62" s="4"/>
      <c r="F62" s="3"/>
    </row>
    <row r="63" spans="1:12" x14ac:dyDescent="0.2">
      <c r="A63" s="2"/>
      <c r="B63" s="3"/>
      <c r="C63" s="3"/>
      <c r="D63" s="4"/>
      <c r="E63" s="4"/>
      <c r="F63" s="3"/>
    </row>
    <row r="64" spans="1:12" x14ac:dyDescent="0.2">
      <c r="A64" s="2"/>
      <c r="B64" s="3"/>
      <c r="C64" s="3"/>
      <c r="D64" s="4"/>
      <c r="E64" s="4"/>
      <c r="F64" s="3"/>
    </row>
    <row r="65" spans="1:6" x14ac:dyDescent="0.2">
      <c r="A65" s="2"/>
      <c r="B65" s="3"/>
      <c r="C65" s="3"/>
      <c r="D65" s="4"/>
      <c r="E65" s="4"/>
      <c r="F65" s="3"/>
    </row>
    <row r="66" spans="1:6" x14ac:dyDescent="0.2">
      <c r="A66" s="2"/>
      <c r="B66" s="3"/>
      <c r="C66" s="3"/>
      <c r="D66" s="4"/>
      <c r="E66" s="4"/>
      <c r="F66" s="3"/>
    </row>
    <row r="67" spans="1:6" x14ac:dyDescent="0.2">
      <c r="A67" s="2"/>
      <c r="B67" s="3"/>
      <c r="C67" s="3"/>
      <c r="D67" s="4"/>
      <c r="E67" s="4"/>
      <c r="F67" s="3"/>
    </row>
    <row r="68" spans="1:6" x14ac:dyDescent="0.2">
      <c r="A68" s="2"/>
      <c r="B68" s="3"/>
      <c r="C68" s="3"/>
      <c r="D68" s="4"/>
      <c r="E68" s="4"/>
      <c r="F68" s="3"/>
    </row>
    <row r="69" spans="1:6" x14ac:dyDescent="0.2">
      <c r="A69" s="2"/>
      <c r="B69" s="3"/>
      <c r="C69" s="3"/>
      <c r="D69" s="4"/>
      <c r="E69" s="4"/>
      <c r="F69" s="3"/>
    </row>
    <row r="70" spans="1:6" x14ac:dyDescent="0.2">
      <c r="A70" s="2"/>
      <c r="B70" s="3"/>
      <c r="C70" s="3"/>
      <c r="D70" s="4"/>
      <c r="E70" s="4"/>
      <c r="F70" s="3"/>
    </row>
    <row r="71" spans="1:6" x14ac:dyDescent="0.2">
      <c r="A71" s="2"/>
      <c r="B71" s="3"/>
      <c r="C71" s="3"/>
      <c r="D71" s="4"/>
      <c r="E71" s="4"/>
      <c r="F71" s="3"/>
    </row>
    <row r="72" spans="1:6" x14ac:dyDescent="0.2">
      <c r="A72" s="2"/>
      <c r="B72" s="3"/>
      <c r="C72" s="3"/>
      <c r="D72" s="4"/>
      <c r="E72" s="4"/>
      <c r="F72" s="3"/>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row>
    <row r="84" spans="1:6" x14ac:dyDescent="0.2">
      <c r="A84" s="2"/>
    </row>
    <row r="85" spans="1:6" x14ac:dyDescent="0.2">
      <c r="A85" s="2"/>
    </row>
    <row r="86" spans="1:6" x14ac:dyDescent="0.2">
      <c r="A86" s="2"/>
    </row>
    <row r="87" spans="1:6" x14ac:dyDescent="0.2">
      <c r="A87"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44268-3A63-4A12-B393-8023952F3983}">
  <dimension ref="A1:L88"/>
  <sheetViews>
    <sheetView workbookViewId="0">
      <selection activeCell="G1" sqref="G1:G1048576"/>
    </sheetView>
  </sheetViews>
  <sheetFormatPr defaultColWidth="9.77734375" defaultRowHeight="14.25" x14ac:dyDescent="0.2"/>
  <cols>
    <col min="1" max="1" width="34.5546875" style="1" customWidth="1"/>
    <col min="2" max="2" width="13.77734375" style="1" customWidth="1"/>
    <col min="3" max="3" width="13.109375" style="1" customWidth="1"/>
    <col min="4" max="4" width="12.77734375" style="1" customWidth="1"/>
    <col min="5" max="5" width="14.5546875" style="1" customWidth="1"/>
    <col min="6" max="6" width="14.6640625" style="1" customWidth="1"/>
    <col min="7" max="8" width="11.33203125" style="1" bestFit="1" customWidth="1"/>
    <col min="9" max="9" width="13.109375" style="38" bestFit="1" customWidth="1"/>
    <col min="10" max="10" width="9.77734375" style="1"/>
    <col min="11" max="11" width="11" style="1" customWidth="1"/>
    <col min="12" max="16384" width="9.77734375" style="1"/>
  </cols>
  <sheetData>
    <row r="1" spans="1:12" ht="18.75" thickBot="1" x14ac:dyDescent="0.3">
      <c r="A1" s="134" t="s">
        <v>160</v>
      </c>
    </row>
    <row r="2" spans="1:12" ht="15.75" thickBot="1" x14ac:dyDescent="0.3">
      <c r="A2" s="21" t="s">
        <v>161</v>
      </c>
      <c r="B2" s="22"/>
      <c r="C2" s="22"/>
      <c r="D2" s="22"/>
      <c r="E2" s="22"/>
      <c r="F2" s="22"/>
    </row>
    <row r="3" spans="1:12" s="7" customFormat="1" ht="47.25" customHeight="1" thickBot="1" x14ac:dyDescent="0.3">
      <c r="A3" s="140"/>
      <c r="B3" s="141" t="s">
        <v>59</v>
      </c>
      <c r="C3" s="141" t="s">
        <v>57</v>
      </c>
      <c r="D3" s="142" t="s">
        <v>3</v>
      </c>
      <c r="E3" s="143" t="s">
        <v>1</v>
      </c>
      <c r="F3" s="165" t="s">
        <v>2</v>
      </c>
      <c r="I3" s="39"/>
    </row>
    <row r="4" spans="1:12" x14ac:dyDescent="0.2">
      <c r="A4" s="150" t="s">
        <v>4</v>
      </c>
      <c r="B4" s="151">
        <v>48987.713264960126</v>
      </c>
      <c r="C4" s="152">
        <v>48856.07894206624</v>
      </c>
      <c r="D4" s="153">
        <v>42.266856289552358</v>
      </c>
      <c r="E4" s="154">
        <v>2064.9928675153387</v>
      </c>
      <c r="F4" s="155">
        <v>56.199457530898613</v>
      </c>
      <c r="G4" s="164"/>
      <c r="H4" s="36"/>
      <c r="I4" s="40"/>
      <c r="K4" s="35"/>
    </row>
    <row r="5" spans="1:12" x14ac:dyDescent="0.2">
      <c r="A5" s="15" t="s">
        <v>5</v>
      </c>
      <c r="B5" s="77">
        <v>290997.22896835732</v>
      </c>
      <c r="C5" s="145">
        <v>290215.29364935058</v>
      </c>
      <c r="D5" s="146">
        <v>51.486442943299885</v>
      </c>
      <c r="E5" s="147">
        <v>14942.15315775031</v>
      </c>
      <c r="F5" s="156">
        <v>406.65559432153032</v>
      </c>
      <c r="G5" s="164"/>
      <c r="H5" s="36"/>
      <c r="I5" s="40"/>
      <c r="K5" s="35"/>
    </row>
    <row r="6" spans="1:12" x14ac:dyDescent="0.2">
      <c r="A6" s="15" t="s">
        <v>6</v>
      </c>
      <c r="B6" s="77">
        <v>129457.59999213724</v>
      </c>
      <c r="C6" s="145">
        <v>129109.73595883847</v>
      </c>
      <c r="D6" s="146">
        <v>57.427809065832697</v>
      </c>
      <c r="E6" s="147">
        <v>7414.4892651842501</v>
      </c>
      <c r="F6" s="156">
        <v>201.7877548765581</v>
      </c>
      <c r="G6" s="164"/>
      <c r="H6" s="36"/>
      <c r="I6" s="40"/>
      <c r="K6" s="35"/>
    </row>
    <row r="7" spans="1:12" x14ac:dyDescent="0.2">
      <c r="A7" s="15" t="s">
        <v>7</v>
      </c>
      <c r="B7" s="77">
        <v>246265.5637841477</v>
      </c>
      <c r="C7" s="145">
        <v>245603.82641001322</v>
      </c>
      <c r="D7" s="146">
        <v>51.351931829178227</v>
      </c>
      <c r="E7" s="147">
        <v>12612.230950792322</v>
      </c>
      <c r="F7" s="156">
        <v>343.24599800762905</v>
      </c>
      <c r="G7" s="164"/>
      <c r="H7" s="36"/>
      <c r="I7" s="40"/>
      <c r="K7" s="35"/>
    </row>
    <row r="8" spans="1:12" x14ac:dyDescent="0.2">
      <c r="A8" s="15" t="s">
        <v>8</v>
      </c>
      <c r="B8" s="77">
        <v>0</v>
      </c>
      <c r="C8" s="145">
        <v>0</v>
      </c>
      <c r="D8" s="146">
        <v>0</v>
      </c>
      <c r="E8" s="147">
        <v>0</v>
      </c>
      <c r="F8" s="156">
        <v>0</v>
      </c>
      <c r="G8" s="164"/>
      <c r="H8" s="36"/>
      <c r="I8" s="40"/>
      <c r="K8" s="35"/>
    </row>
    <row r="9" spans="1:12" x14ac:dyDescent="0.2">
      <c r="A9" s="15" t="s">
        <v>9</v>
      </c>
      <c r="B9" s="77">
        <v>37259.806281358884</v>
      </c>
      <c r="C9" s="145">
        <v>37159.685882913742</v>
      </c>
      <c r="D9" s="146">
        <v>39.581092142400259</v>
      </c>
      <c r="E9" s="147">
        <v>1470.8209509142589</v>
      </c>
      <c r="F9" s="156">
        <v>40.028874126776046</v>
      </c>
      <c r="G9" s="164"/>
      <c r="H9" s="36"/>
      <c r="I9" s="40"/>
      <c r="K9" s="35"/>
    </row>
    <row r="10" spans="1:12" x14ac:dyDescent="0.2">
      <c r="A10" s="15" t="s">
        <v>10</v>
      </c>
      <c r="B10" s="77">
        <v>337042.72405167797</v>
      </c>
      <c r="C10" s="145">
        <v>336137.06041053415</v>
      </c>
      <c r="D10" s="146">
        <v>45.536862621025236</v>
      </c>
      <c r="E10" s="147">
        <v>15306.627141749754</v>
      </c>
      <c r="F10" s="156">
        <v>416.5748732241932</v>
      </c>
      <c r="G10" s="164"/>
      <c r="H10" s="36"/>
      <c r="I10" s="40"/>
      <c r="K10" s="35"/>
    </row>
    <row r="11" spans="1:12" x14ac:dyDescent="0.2">
      <c r="A11" s="15" t="s">
        <v>11</v>
      </c>
      <c r="B11" s="77">
        <v>205301.2838897052</v>
      </c>
      <c r="C11" s="145">
        <v>204749.62116260669</v>
      </c>
      <c r="D11" s="146">
        <v>51.614231967458487</v>
      </c>
      <c r="E11" s="147">
        <v>10567.994441936029</v>
      </c>
      <c r="F11" s="156">
        <v>287.61143157892525</v>
      </c>
      <c r="G11" s="164"/>
      <c r="H11" s="36"/>
      <c r="I11" s="40"/>
      <c r="K11" s="35"/>
    </row>
    <row r="12" spans="1:12" x14ac:dyDescent="0.2">
      <c r="A12" s="15" t="s">
        <v>12</v>
      </c>
      <c r="B12" s="77">
        <v>118604.60423311107</v>
      </c>
      <c r="C12" s="145">
        <v>118285.90316033634</v>
      </c>
      <c r="D12" s="146">
        <v>45.805518000356471</v>
      </c>
      <c r="E12" s="147">
        <v>5418.1470663992086</v>
      </c>
      <c r="F12" s="156">
        <v>147.45664779009385</v>
      </c>
      <c r="G12" s="164"/>
      <c r="H12" s="36"/>
      <c r="I12" s="40"/>
      <c r="K12" s="35"/>
    </row>
    <row r="13" spans="1:12" x14ac:dyDescent="0.2">
      <c r="A13" s="15" t="s">
        <v>13</v>
      </c>
      <c r="B13" s="77">
        <v>74683.47553454453</v>
      </c>
      <c r="C13" s="145">
        <v>74482.794423340587</v>
      </c>
      <c r="D13" s="146">
        <v>52.354965840762404</v>
      </c>
      <c r="E13" s="147">
        <v>3899.5441577585252</v>
      </c>
      <c r="F13" s="156">
        <v>106.12737202695747</v>
      </c>
      <c r="G13" s="164"/>
      <c r="H13" s="36"/>
      <c r="I13" s="40"/>
      <c r="K13" s="35"/>
    </row>
    <row r="14" spans="1:12" s="5" customFormat="1" ht="15" x14ac:dyDescent="0.25">
      <c r="A14" s="16" t="s">
        <v>14</v>
      </c>
      <c r="B14" s="81">
        <v>1488600</v>
      </c>
      <c r="C14" s="81">
        <v>1484600</v>
      </c>
      <c r="D14" s="148">
        <v>49.640980735551665</v>
      </c>
      <c r="E14" s="81">
        <v>73697</v>
      </c>
      <c r="F14" s="157">
        <v>2005.6880034835619</v>
      </c>
      <c r="G14" s="164"/>
      <c r="H14" s="37"/>
      <c r="I14" s="41"/>
      <c r="K14" s="35"/>
      <c r="L14" s="1"/>
    </row>
    <row r="15" spans="1:12" x14ac:dyDescent="0.2">
      <c r="A15" s="15" t="s">
        <v>15</v>
      </c>
      <c r="B15" s="77">
        <v>120960.04500640718</v>
      </c>
      <c r="C15" s="145">
        <v>119395.41601408533</v>
      </c>
      <c r="D15" s="146">
        <v>50.497056524368489</v>
      </c>
      <c r="E15" s="147">
        <v>6029.1170712137573</v>
      </c>
      <c r="F15" s="156">
        <v>164.08439666921831</v>
      </c>
      <c r="G15" s="164"/>
      <c r="H15" s="36"/>
      <c r="I15" s="40"/>
      <c r="K15" s="35"/>
    </row>
    <row r="16" spans="1:12" x14ac:dyDescent="0.2">
      <c r="A16" s="15" t="s">
        <v>16</v>
      </c>
      <c r="B16" s="77">
        <v>34478.588965790266</v>
      </c>
      <c r="C16" s="145">
        <v>34032.605336176326</v>
      </c>
      <c r="D16" s="146">
        <v>44.922221378597719</v>
      </c>
      <c r="E16" s="147">
        <v>1528.8202310021588</v>
      </c>
      <c r="F16" s="156">
        <v>41.607343539139961</v>
      </c>
      <c r="G16" s="164"/>
      <c r="H16" s="36"/>
      <c r="I16" s="40"/>
      <c r="K16" s="35"/>
    </row>
    <row r="17" spans="1:12" x14ac:dyDescent="0.2">
      <c r="A17" s="15" t="s">
        <v>17</v>
      </c>
      <c r="B17" s="77">
        <v>52724.924034324329</v>
      </c>
      <c r="C17" s="145">
        <v>52042.922429929255</v>
      </c>
      <c r="D17" s="146">
        <v>47.091429909400254</v>
      </c>
      <c r="E17" s="147">
        <v>2450.7756338893678</v>
      </c>
      <c r="F17" s="156">
        <v>66.698661928188756</v>
      </c>
      <c r="G17" s="164"/>
      <c r="H17" s="36"/>
      <c r="I17" s="40"/>
      <c r="K17" s="35"/>
    </row>
    <row r="18" spans="1:12" x14ac:dyDescent="0.2">
      <c r="A18" s="15" t="s">
        <v>18</v>
      </c>
      <c r="B18" s="77">
        <v>27510.517816772528</v>
      </c>
      <c r="C18" s="145">
        <v>27154.666810205617</v>
      </c>
      <c r="D18" s="146">
        <v>25.031608549486656</v>
      </c>
      <c r="E18" s="147">
        <v>679.72498988480447</v>
      </c>
      <c r="F18" s="156">
        <v>18.498938326932411</v>
      </c>
      <c r="G18" s="164"/>
      <c r="H18" s="36"/>
      <c r="I18" s="40"/>
      <c r="K18" s="35"/>
    </row>
    <row r="19" spans="1:12" x14ac:dyDescent="0.2">
      <c r="A19" s="15" t="s">
        <v>19</v>
      </c>
      <c r="B19" s="77">
        <v>230314.02109328064</v>
      </c>
      <c r="C19" s="145">
        <v>227334.88864734213</v>
      </c>
      <c r="D19" s="146">
        <v>52.798361321041682</v>
      </c>
      <c r="E19" s="147">
        <v>12002.909591681148</v>
      </c>
      <c r="F19" s="156">
        <v>326.66311756153789</v>
      </c>
      <c r="G19" s="164"/>
      <c r="H19" s="36"/>
      <c r="I19" s="40"/>
      <c r="K19" s="35"/>
    </row>
    <row r="20" spans="1:12" x14ac:dyDescent="0.2">
      <c r="A20" s="15" t="s">
        <v>20</v>
      </c>
      <c r="B20" s="77">
        <v>30474.052208821391</v>
      </c>
      <c r="C20" s="145">
        <v>30079.867620043125</v>
      </c>
      <c r="D20" s="146">
        <v>33.944277120660892</v>
      </c>
      <c r="E20" s="147">
        <v>1021.0393622475383</v>
      </c>
      <c r="F20" s="156">
        <v>27.787920810133308</v>
      </c>
      <c r="G20" s="164"/>
      <c r="H20" s="36"/>
      <c r="I20" s="40"/>
      <c r="K20" s="35"/>
    </row>
    <row r="21" spans="1:12" x14ac:dyDescent="0.2">
      <c r="A21" s="15" t="s">
        <v>21</v>
      </c>
      <c r="B21" s="77">
        <v>120354.63937574447</v>
      </c>
      <c r="C21" s="145">
        <v>118797.84135936019</v>
      </c>
      <c r="D21" s="146">
        <v>51.277712592920977</v>
      </c>
      <c r="E21" s="147">
        <v>6091.6815658846926</v>
      </c>
      <c r="F21" s="156">
        <v>165.78710989235501</v>
      </c>
      <c r="G21" s="164"/>
      <c r="H21" s="36"/>
      <c r="I21" s="40"/>
      <c r="K21" s="35"/>
    </row>
    <row r="22" spans="1:12" x14ac:dyDescent="0.2">
      <c r="A22" s="15" t="s">
        <v>22</v>
      </c>
      <c r="B22" s="77">
        <v>113027.75464562664</v>
      </c>
      <c r="C22" s="145">
        <v>111565.73053802797</v>
      </c>
      <c r="D22" s="146">
        <v>43.631513567742147</v>
      </c>
      <c r="E22" s="147">
        <v>4867.7816856650315</v>
      </c>
      <c r="F22" s="156">
        <v>132.47827361378813</v>
      </c>
      <c r="G22" s="164"/>
      <c r="H22" s="36"/>
      <c r="I22" s="40"/>
      <c r="K22" s="35"/>
    </row>
    <row r="23" spans="1:12" x14ac:dyDescent="0.2">
      <c r="A23" s="15" t="s">
        <v>23</v>
      </c>
      <c r="B23" s="77">
        <v>23200.325046273949</v>
      </c>
      <c r="C23" s="145">
        <v>22900.22676839411</v>
      </c>
      <c r="D23" s="146">
        <v>42.96569796636566</v>
      </c>
      <c r="E23" s="147">
        <v>983.92422669210328</v>
      </c>
      <c r="F23" s="156">
        <v>26.777820234381213</v>
      </c>
      <c r="G23" s="164"/>
      <c r="H23" s="36"/>
      <c r="I23" s="40"/>
      <c r="K23" s="35"/>
    </row>
    <row r="24" spans="1:12" x14ac:dyDescent="0.2">
      <c r="A24" s="15" t="s">
        <v>24</v>
      </c>
      <c r="B24" s="77">
        <v>97355.131806958627</v>
      </c>
      <c r="C24" s="145">
        <v>96095.834476435863</v>
      </c>
      <c r="D24" s="146">
        <v>48.401948608708373</v>
      </c>
      <c r="E24" s="147">
        <v>4651.2256418393954</v>
      </c>
      <c r="F24" s="156">
        <v>126.58462992160341</v>
      </c>
      <c r="G24" s="164"/>
      <c r="H24" s="36"/>
      <c r="I24" s="40"/>
      <c r="K24" s="35"/>
    </row>
    <row r="25" spans="1:12" s="5" customFormat="1" ht="15" x14ac:dyDescent="0.25">
      <c r="A25" s="16" t="s">
        <v>25</v>
      </c>
      <c r="B25" s="81">
        <v>850400.00000000012</v>
      </c>
      <c r="C25" s="81">
        <v>839399.99999999988</v>
      </c>
      <c r="D25" s="148">
        <v>48.018822968787234</v>
      </c>
      <c r="E25" s="81">
        <v>40307</v>
      </c>
      <c r="F25" s="157">
        <v>1096.9682124972785</v>
      </c>
      <c r="G25" s="164"/>
      <c r="H25" s="37"/>
      <c r="I25" s="41"/>
      <c r="K25" s="35"/>
      <c r="L25" s="1"/>
    </row>
    <row r="26" spans="1:12" x14ac:dyDescent="0.2">
      <c r="A26" s="15" t="s">
        <v>26</v>
      </c>
      <c r="B26" s="77">
        <v>53469.752976610383</v>
      </c>
      <c r="C26" s="145">
        <v>52196.663620024417</v>
      </c>
      <c r="D26" s="146">
        <v>46.303679858170703</v>
      </c>
      <c r="E26" s="147">
        <v>2416.8976019262359</v>
      </c>
      <c r="F26" s="156">
        <v>65.776660187411167</v>
      </c>
      <c r="G26" s="164"/>
      <c r="H26" s="36"/>
      <c r="I26" s="40"/>
      <c r="K26" s="35"/>
    </row>
    <row r="27" spans="1:12" x14ac:dyDescent="0.2">
      <c r="A27" s="15" t="s">
        <v>27</v>
      </c>
      <c r="B27" s="162">
        <v>0</v>
      </c>
      <c r="C27" s="162">
        <v>0</v>
      </c>
      <c r="D27" s="162">
        <v>0</v>
      </c>
      <c r="E27" s="162">
        <v>0</v>
      </c>
      <c r="F27" s="156">
        <v>0</v>
      </c>
      <c r="G27" s="164"/>
      <c r="H27" s="36"/>
      <c r="I27" s="40"/>
      <c r="K27" s="35"/>
    </row>
    <row r="28" spans="1:12" x14ac:dyDescent="0.2">
      <c r="A28" s="15" t="s">
        <v>28</v>
      </c>
      <c r="B28" s="77">
        <v>34441.102680022814</v>
      </c>
      <c r="C28" s="145">
        <v>33621.076425736559</v>
      </c>
      <c r="D28" s="146">
        <v>38.327456375494457</v>
      </c>
      <c r="E28" s="147">
        <v>1288.6103400045831</v>
      </c>
      <c r="F28" s="156">
        <v>35.069952645454585</v>
      </c>
      <c r="G28" s="164"/>
      <c r="H28" s="36"/>
      <c r="I28" s="40"/>
      <c r="K28" s="35"/>
    </row>
    <row r="29" spans="1:12" x14ac:dyDescent="0.2">
      <c r="A29" s="15" t="s">
        <v>29</v>
      </c>
      <c r="B29" s="77">
        <v>45393.420479570123</v>
      </c>
      <c r="C29" s="145">
        <v>44312.624753866068</v>
      </c>
      <c r="D29" s="146">
        <v>44.297858778337108</v>
      </c>
      <c r="E29" s="147">
        <v>1962.9543934442042</v>
      </c>
      <c r="F29" s="156">
        <v>53.422447023846189</v>
      </c>
      <c r="G29" s="164"/>
      <c r="H29" s="36"/>
      <c r="I29" s="40"/>
      <c r="K29" s="35"/>
    </row>
    <row r="30" spans="1:12" x14ac:dyDescent="0.2">
      <c r="A30" s="15" t="s">
        <v>30</v>
      </c>
      <c r="B30" s="149">
        <v>0</v>
      </c>
      <c r="C30" s="149">
        <v>0</v>
      </c>
      <c r="D30" s="149">
        <v>0</v>
      </c>
      <c r="E30" s="149">
        <v>0</v>
      </c>
      <c r="F30" s="156">
        <v>0</v>
      </c>
      <c r="G30" s="164"/>
      <c r="H30" s="36"/>
      <c r="I30" s="40"/>
      <c r="K30" s="35"/>
    </row>
    <row r="31" spans="1:12" x14ac:dyDescent="0.2">
      <c r="A31" s="15" t="s">
        <v>31</v>
      </c>
      <c r="B31" s="77">
        <v>40125.495488311331</v>
      </c>
      <c r="C31" s="145">
        <v>39170.12654811344</v>
      </c>
      <c r="D31" s="146">
        <v>41.948756463205967</v>
      </c>
      <c r="E31" s="147">
        <v>1643.1380991997694</v>
      </c>
      <c r="F31" s="156">
        <v>44.71854178096477</v>
      </c>
      <c r="G31" s="164"/>
      <c r="H31" s="36"/>
      <c r="I31" s="40"/>
      <c r="K31" s="35"/>
    </row>
    <row r="32" spans="1:12" x14ac:dyDescent="0.2">
      <c r="A32" s="15" t="s">
        <v>32</v>
      </c>
      <c r="B32" s="162">
        <v>0</v>
      </c>
      <c r="C32" s="162">
        <v>0</v>
      </c>
      <c r="D32" s="162">
        <v>0</v>
      </c>
      <c r="E32" s="162">
        <v>0</v>
      </c>
      <c r="F32" s="156">
        <v>0</v>
      </c>
      <c r="G32" s="164"/>
      <c r="H32" s="36"/>
      <c r="I32" s="40"/>
      <c r="K32" s="35"/>
    </row>
    <row r="33" spans="1:12" x14ac:dyDescent="0.2">
      <c r="A33" s="15" t="s">
        <v>33</v>
      </c>
      <c r="B33" s="77">
        <v>26877.104176762503</v>
      </c>
      <c r="C33" s="145">
        <v>26237.173124934823</v>
      </c>
      <c r="D33" s="146">
        <v>41.313099032101043</v>
      </c>
      <c r="E33" s="147">
        <v>1083.9389316328125</v>
      </c>
      <c r="F33" s="156">
        <v>29.499753201415537</v>
      </c>
      <c r="G33" s="164"/>
      <c r="H33" s="36"/>
      <c r="I33" s="40"/>
      <c r="K33" s="35"/>
    </row>
    <row r="34" spans="1:12" x14ac:dyDescent="0.2">
      <c r="A34" s="15" t="s">
        <v>34</v>
      </c>
      <c r="B34" s="77">
        <v>27559.168450690406</v>
      </c>
      <c r="C34" s="145">
        <v>26902.997773293013</v>
      </c>
      <c r="D34" s="146">
        <v>36.919094605685892</v>
      </c>
      <c r="E34" s="147">
        <v>993.23431996876161</v>
      </c>
      <c r="F34" s="156">
        <v>27.031197473567428</v>
      </c>
      <c r="G34" s="164"/>
      <c r="H34" s="36"/>
      <c r="I34" s="40"/>
      <c r="K34" s="35"/>
    </row>
    <row r="35" spans="1:12" x14ac:dyDescent="0.2">
      <c r="A35" s="15" t="s">
        <v>35</v>
      </c>
      <c r="B35" s="77">
        <v>28333.955748032462</v>
      </c>
      <c r="C35" s="145">
        <v>27659.337754031687</v>
      </c>
      <c r="D35" s="146">
        <v>47.550896753915275</v>
      </c>
      <c r="E35" s="147">
        <v>1315.2263138236315</v>
      </c>
      <c r="F35" s="156">
        <v>35.794315094263865</v>
      </c>
      <c r="G35" s="164"/>
      <c r="H35" s="36"/>
      <c r="I35" s="40"/>
      <c r="K35" s="35"/>
    </row>
    <row r="36" spans="1:12" s="5" customFormat="1" ht="15" x14ac:dyDescent="0.25">
      <c r="A36" s="16" t="s">
        <v>36</v>
      </c>
      <c r="B36" s="81">
        <v>256200.00000000003</v>
      </c>
      <c r="C36" s="81">
        <v>250100</v>
      </c>
      <c r="D36" s="148">
        <v>42.798880447820871</v>
      </c>
      <c r="E36" s="81">
        <v>10704</v>
      </c>
      <c r="F36" s="157">
        <v>291.3128674069236</v>
      </c>
      <c r="G36" s="164"/>
      <c r="H36" s="37"/>
      <c r="I36" s="41"/>
      <c r="K36" s="35"/>
      <c r="L36" s="1"/>
    </row>
    <row r="37" spans="1:12" x14ac:dyDescent="0.2">
      <c r="A37" s="15" t="s">
        <v>37</v>
      </c>
      <c r="B37" s="77">
        <v>18035.697162035663</v>
      </c>
      <c r="C37" s="145">
        <v>18019.852051416699</v>
      </c>
      <c r="D37" s="146">
        <v>29.994167613198108</v>
      </c>
      <c r="E37" s="147">
        <v>540.49046279522429</v>
      </c>
      <c r="F37" s="156">
        <v>14.709625048857617</v>
      </c>
      <c r="G37" s="164"/>
      <c r="H37" s="36"/>
      <c r="I37" s="40"/>
      <c r="K37" s="35"/>
    </row>
    <row r="38" spans="1:12" x14ac:dyDescent="0.2">
      <c r="A38" s="15" t="s">
        <v>38</v>
      </c>
      <c r="B38" s="77">
        <v>15747.264940817306</v>
      </c>
      <c r="C38" s="145">
        <v>15733.430313151312</v>
      </c>
      <c r="D38" s="146">
        <v>46.070340184165659</v>
      </c>
      <c r="E38" s="147">
        <v>724.8444867907449</v>
      </c>
      <c r="F38" s="156">
        <v>19.726880219647967</v>
      </c>
      <c r="G38" s="164"/>
      <c r="H38" s="36"/>
      <c r="I38" s="40"/>
      <c r="K38" s="35"/>
    </row>
    <row r="39" spans="1:12" x14ac:dyDescent="0.2">
      <c r="A39" s="15" t="s">
        <v>39</v>
      </c>
      <c r="B39" s="77">
        <v>32590.482496338798</v>
      </c>
      <c r="C39" s="145">
        <v>32561.850401020249</v>
      </c>
      <c r="D39" s="146">
        <v>43.745014904475539</v>
      </c>
      <c r="E39" s="147">
        <v>1424.4186311099336</v>
      </c>
      <c r="F39" s="156">
        <v>38.766019788535097</v>
      </c>
      <c r="G39" s="164"/>
      <c r="H39" s="36"/>
      <c r="I39" s="40"/>
      <c r="K39" s="35"/>
    </row>
    <row r="40" spans="1:12" x14ac:dyDescent="0.2">
      <c r="A40" s="15" t="s">
        <v>40</v>
      </c>
      <c r="B40" s="77">
        <v>23729.304648181795</v>
      </c>
      <c r="C40" s="145">
        <v>23708.457466413129</v>
      </c>
      <c r="D40" s="146">
        <v>35.305978506156329</v>
      </c>
      <c r="E40" s="147">
        <v>837.05028972330354</v>
      </c>
      <c r="F40" s="156">
        <v>22.780597913218582</v>
      </c>
      <c r="G40" s="164"/>
      <c r="H40" s="36"/>
      <c r="I40" s="40"/>
      <c r="K40" s="35"/>
    </row>
    <row r="41" spans="1:12" x14ac:dyDescent="0.2">
      <c r="A41" s="15" t="s">
        <v>41</v>
      </c>
      <c r="B41" s="77">
        <v>73519.412054417422</v>
      </c>
      <c r="C41" s="145">
        <v>73454.822190982828</v>
      </c>
      <c r="D41" s="146">
        <v>54.828039143356293</v>
      </c>
      <c r="E41" s="147">
        <v>4027.383866355483</v>
      </c>
      <c r="F41" s="156">
        <v>109.60657158598636</v>
      </c>
      <c r="G41" s="164"/>
      <c r="H41" s="36"/>
      <c r="I41" s="40"/>
      <c r="K41" s="35"/>
    </row>
    <row r="42" spans="1:12" x14ac:dyDescent="0.2">
      <c r="A42" s="15" t="s">
        <v>42</v>
      </c>
      <c r="B42" s="77">
        <v>116555.60009524027</v>
      </c>
      <c r="C42" s="145">
        <v>116453.20114940654</v>
      </c>
      <c r="D42" s="146">
        <v>41.97795244000212</v>
      </c>
      <c r="E42" s="147">
        <v>4888.4669393357881</v>
      </c>
      <c r="F42" s="156">
        <v>133.0412295704275</v>
      </c>
      <c r="G42" s="164"/>
      <c r="H42" s="36"/>
      <c r="I42" s="40"/>
      <c r="K42" s="35"/>
    </row>
    <row r="43" spans="1:12" x14ac:dyDescent="0.2">
      <c r="A43" s="15" t="s">
        <v>43</v>
      </c>
      <c r="B43" s="77">
        <v>31696.494049113975</v>
      </c>
      <c r="C43" s="145">
        <v>31668.647359854924</v>
      </c>
      <c r="D43" s="146">
        <v>39.953298462546108</v>
      </c>
      <c r="E43" s="147">
        <v>1265.2669198734066</v>
      </c>
      <c r="F43" s="156">
        <v>34.434653817586721</v>
      </c>
      <c r="G43" s="164"/>
      <c r="H43" s="36"/>
      <c r="I43" s="40"/>
      <c r="K43" s="35"/>
    </row>
    <row r="44" spans="1:12" x14ac:dyDescent="0.2">
      <c r="A44" s="15" t="s">
        <v>44</v>
      </c>
      <c r="B44" s="77">
        <v>143425.74455385481</v>
      </c>
      <c r="C44" s="145">
        <v>143299.73906775433</v>
      </c>
      <c r="D44" s="146">
        <v>51.173005978391373</v>
      </c>
      <c r="E44" s="147">
        <v>7333.0784040161161</v>
      </c>
      <c r="F44" s="156">
        <v>199.57213161376322</v>
      </c>
      <c r="G44" s="164"/>
      <c r="H44" s="36"/>
      <c r="I44" s="40"/>
      <c r="K44" s="35"/>
    </row>
    <row r="45" spans="1:12" s="5" customFormat="1" ht="15" x14ac:dyDescent="0.25">
      <c r="A45" s="16" t="s">
        <v>45</v>
      </c>
      <c r="B45" s="81">
        <v>455300.00000000006</v>
      </c>
      <c r="C45" s="81">
        <v>454900</v>
      </c>
      <c r="D45" s="148">
        <v>46.25412178500769</v>
      </c>
      <c r="E45" s="81">
        <v>21041</v>
      </c>
      <c r="F45" s="157">
        <v>572.63770955802306</v>
      </c>
      <c r="G45" s="164"/>
      <c r="H45" s="37"/>
      <c r="I45" s="41"/>
      <c r="K45" s="35"/>
      <c r="L45" s="1"/>
    </row>
    <row r="46" spans="1:12" x14ac:dyDescent="0.2">
      <c r="A46" s="15" t="s">
        <v>46</v>
      </c>
      <c r="B46" s="162">
        <v>1746.3494545589933</v>
      </c>
      <c r="C46" s="162">
        <v>1646.7254923861649</v>
      </c>
      <c r="D46" s="162">
        <v>30.729559250187044</v>
      </c>
      <c r="E46" s="162">
        <v>50.603148587074088</v>
      </c>
      <c r="F46" s="156">
        <v>1.3771812700597128</v>
      </c>
      <c r="G46" s="164"/>
      <c r="H46" s="36"/>
      <c r="I46" s="40"/>
      <c r="K46" s="35"/>
    </row>
    <row r="47" spans="1:12" x14ac:dyDescent="0.2">
      <c r="A47" s="15" t="s">
        <v>47</v>
      </c>
      <c r="B47" s="162">
        <v>56.584385122305363</v>
      </c>
      <c r="C47" s="162">
        <v>53.356416843516136</v>
      </c>
      <c r="D47" s="162">
        <v>0</v>
      </c>
      <c r="E47" s="162">
        <v>1.6369423689430482</v>
      </c>
      <c r="F47" s="156">
        <v>4.4549922951857397E-2</v>
      </c>
      <c r="G47" s="164"/>
      <c r="H47" s="36"/>
      <c r="I47" s="40"/>
      <c r="K47" s="35"/>
    </row>
    <row r="48" spans="1:12" x14ac:dyDescent="0.2">
      <c r="A48" s="17" t="s">
        <v>48</v>
      </c>
      <c r="B48" s="162">
        <v>664.58915075021412</v>
      </c>
      <c r="C48" s="162">
        <v>626.67634684835627</v>
      </c>
      <c r="D48" s="162">
        <v>0</v>
      </c>
      <c r="E48" s="162">
        <v>21.647576991758623</v>
      </c>
      <c r="F48" s="156">
        <v>0.58914590114736076</v>
      </c>
      <c r="G48" s="164"/>
      <c r="H48" s="36"/>
      <c r="I48" s="40"/>
      <c r="K48" s="35"/>
    </row>
    <row r="49" spans="1:12" x14ac:dyDescent="0.2">
      <c r="A49" s="15" t="s">
        <v>49</v>
      </c>
      <c r="B49" s="162">
        <v>0</v>
      </c>
      <c r="C49" s="162">
        <v>0</v>
      </c>
      <c r="D49" s="162">
        <v>0</v>
      </c>
      <c r="E49" s="162">
        <v>0</v>
      </c>
      <c r="F49" s="156">
        <v>0</v>
      </c>
      <c r="G49" s="164"/>
      <c r="H49" s="36"/>
      <c r="I49" s="40"/>
      <c r="K49" s="35"/>
    </row>
    <row r="50" spans="1:12" x14ac:dyDescent="0.2">
      <c r="A50" s="15" t="s">
        <v>50</v>
      </c>
      <c r="B50" s="162">
        <v>26.627945939908411</v>
      </c>
      <c r="C50" s="162">
        <v>25.108902044007596</v>
      </c>
      <c r="D50" s="162">
        <v>30.277115520711249</v>
      </c>
      <c r="E50" s="162">
        <v>0.7602251277846408</v>
      </c>
      <c r="F50" s="156">
        <v>2.0689775957561527E-2</v>
      </c>
      <c r="G50" s="164"/>
      <c r="H50" s="36"/>
      <c r="I50" s="40"/>
      <c r="K50" s="35"/>
    </row>
    <row r="51" spans="1:12" x14ac:dyDescent="0.2">
      <c r="A51" s="15" t="s">
        <v>51</v>
      </c>
      <c r="B51" s="147">
        <v>2286.6748575896345</v>
      </c>
      <c r="C51" s="145">
        <v>2156.2269630291521</v>
      </c>
      <c r="D51" s="146">
        <v>48.799422997504969</v>
      </c>
      <c r="E51" s="147">
        <v>105.2226316474851</v>
      </c>
      <c r="F51" s="156">
        <v>2.8636683988538292</v>
      </c>
      <c r="G51" s="164"/>
      <c r="H51" s="36"/>
      <c r="I51" s="40"/>
      <c r="K51" s="35"/>
    </row>
    <row r="52" spans="1:12" x14ac:dyDescent="0.2">
      <c r="A52" s="15" t="s">
        <v>52</v>
      </c>
      <c r="B52" s="147">
        <v>3063.323280836963</v>
      </c>
      <c r="C52" s="145">
        <v>2888.569939312707</v>
      </c>
      <c r="D52" s="146">
        <v>52.965844527399675</v>
      </c>
      <c r="E52" s="147">
        <v>152.99554631215716</v>
      </c>
      <c r="F52" s="156">
        <v>4.1638239253254179</v>
      </c>
      <c r="G52" s="164"/>
      <c r="H52" s="36"/>
      <c r="I52" s="40"/>
      <c r="K52" s="35"/>
    </row>
    <row r="53" spans="1:12" x14ac:dyDescent="0.2">
      <c r="A53" s="15" t="s">
        <v>53</v>
      </c>
      <c r="B53" s="162">
        <v>0</v>
      </c>
      <c r="C53" s="162">
        <v>0</v>
      </c>
      <c r="D53" s="162">
        <v>0</v>
      </c>
      <c r="E53" s="162">
        <v>0</v>
      </c>
      <c r="F53" s="156">
        <v>0</v>
      </c>
      <c r="G53" s="164"/>
      <c r="H53" s="36"/>
      <c r="I53" s="40"/>
      <c r="K53" s="35"/>
    </row>
    <row r="54" spans="1:12" x14ac:dyDescent="0.2">
      <c r="A54" s="15" t="s">
        <v>54</v>
      </c>
      <c r="B54" s="162">
        <v>0</v>
      </c>
      <c r="C54" s="162">
        <v>0</v>
      </c>
      <c r="D54" s="162">
        <v>0</v>
      </c>
      <c r="E54" s="162">
        <v>0</v>
      </c>
      <c r="F54" s="156">
        <v>0</v>
      </c>
      <c r="G54" s="164"/>
      <c r="H54" s="36"/>
      <c r="I54" s="40"/>
      <c r="K54" s="35"/>
    </row>
    <row r="55" spans="1:12" x14ac:dyDescent="0.2">
      <c r="A55" s="15" t="s">
        <v>55</v>
      </c>
      <c r="B55" s="77">
        <v>21955.850925201979</v>
      </c>
      <c r="C55" s="145">
        <v>20703.335939536097</v>
      </c>
      <c r="D55" s="146">
        <v>36.087610767018177</v>
      </c>
      <c r="E55" s="147">
        <v>747.13392896479729</v>
      </c>
      <c r="F55" s="156">
        <v>20.333494692053051</v>
      </c>
      <c r="G55" s="164"/>
      <c r="H55" s="36"/>
      <c r="I55" s="40"/>
      <c r="K55" s="35"/>
    </row>
    <row r="56" spans="1:12" s="5" customFormat="1" ht="15" x14ac:dyDescent="0.25">
      <c r="A56" s="16" t="s">
        <v>56</v>
      </c>
      <c r="B56" s="81">
        <v>29800</v>
      </c>
      <c r="C56" s="81">
        <v>28100</v>
      </c>
      <c r="D56" s="148">
        <v>38.434163701067618</v>
      </c>
      <c r="E56" s="81">
        <v>1080</v>
      </c>
      <c r="F56" s="157">
        <v>29.392553886348793</v>
      </c>
      <c r="G56" s="164"/>
      <c r="H56" s="37"/>
      <c r="I56" s="41"/>
      <c r="K56" s="35"/>
      <c r="L56" s="1"/>
    </row>
    <row r="57" spans="1:12" s="5" customFormat="1" ht="15.75" thickBot="1" x14ac:dyDescent="0.3">
      <c r="A57" s="18" t="s">
        <v>0</v>
      </c>
      <c r="B57" s="89">
        <v>3080300</v>
      </c>
      <c r="C57" s="158">
        <v>3057100</v>
      </c>
      <c r="D57" s="159">
        <v>48.028523764351839</v>
      </c>
      <c r="E57" s="160">
        <v>146828</v>
      </c>
      <c r="F57" s="161">
        <v>3995.9721315044635</v>
      </c>
      <c r="G57" s="164"/>
      <c r="H57" s="37"/>
      <c r="I57" s="41"/>
      <c r="K57" s="35"/>
      <c r="L57" s="1"/>
    </row>
    <row r="58" spans="1:12" s="5" customFormat="1" ht="15" x14ac:dyDescent="0.25">
      <c r="A58" s="1" t="s">
        <v>156</v>
      </c>
      <c r="B58" s="6"/>
      <c r="C58" s="6"/>
      <c r="D58" s="6"/>
      <c r="E58" s="6"/>
      <c r="F58" s="6"/>
      <c r="I58" s="42"/>
    </row>
    <row r="59" spans="1:12" s="9" customFormat="1" x14ac:dyDescent="0.2">
      <c r="A59" s="8"/>
      <c r="B59" s="166">
        <v>2936000</v>
      </c>
      <c r="C59" s="166">
        <v>2904900</v>
      </c>
      <c r="D59" s="167">
        <v>51.6</v>
      </c>
      <c r="E59" s="166">
        <v>150000</v>
      </c>
      <c r="F59" s="163"/>
      <c r="I59" s="43"/>
    </row>
    <row r="60" spans="1:12" ht="210.75" customHeight="1" x14ac:dyDescent="0.2">
      <c r="A60" s="23" t="s">
        <v>58</v>
      </c>
      <c r="B60" s="23"/>
      <c r="C60" s="23"/>
      <c r="D60" s="23"/>
      <c r="E60" s="23"/>
      <c r="F60" s="23"/>
    </row>
    <row r="61" spans="1:12" ht="15" x14ac:dyDescent="0.25">
      <c r="A61" s="10" t="s">
        <v>60</v>
      </c>
      <c r="B61" s="3"/>
      <c r="C61" s="3"/>
      <c r="D61" s="4"/>
      <c r="E61" s="4"/>
      <c r="F61" s="3"/>
    </row>
    <row r="62" spans="1:12" x14ac:dyDescent="0.2">
      <c r="A62" s="45">
        <v>44986</v>
      </c>
      <c r="B62" s="3"/>
      <c r="C62" s="3"/>
      <c r="D62" s="4"/>
      <c r="E62" s="4"/>
      <c r="F62" s="3"/>
    </row>
    <row r="63" spans="1:12" x14ac:dyDescent="0.2">
      <c r="A63" s="2"/>
      <c r="B63" s="3"/>
      <c r="C63" s="3"/>
      <c r="D63" s="4"/>
      <c r="E63" s="4"/>
      <c r="F63" s="3"/>
    </row>
    <row r="64" spans="1:12" x14ac:dyDescent="0.2">
      <c r="A64" s="2"/>
      <c r="B64" s="3"/>
      <c r="C64" s="3"/>
      <c r="D64" s="4"/>
      <c r="E64" s="4"/>
      <c r="F64" s="3"/>
    </row>
    <row r="65" spans="1:6" x14ac:dyDescent="0.2">
      <c r="A65" s="2"/>
      <c r="B65" s="3"/>
      <c r="C65" s="3"/>
      <c r="D65" s="4"/>
      <c r="E65" s="4"/>
      <c r="F65" s="3"/>
    </row>
    <row r="66" spans="1:6" x14ac:dyDescent="0.2">
      <c r="A66" s="2"/>
      <c r="B66" s="3"/>
      <c r="C66" s="3"/>
      <c r="D66" s="4"/>
      <c r="E66" s="4"/>
      <c r="F66" s="3"/>
    </row>
    <row r="67" spans="1:6" x14ac:dyDescent="0.2">
      <c r="A67" s="2"/>
      <c r="B67" s="3"/>
      <c r="C67" s="3"/>
      <c r="D67" s="4"/>
      <c r="E67" s="4"/>
      <c r="F67" s="3"/>
    </row>
    <row r="68" spans="1:6" x14ac:dyDescent="0.2">
      <c r="A68" s="2"/>
      <c r="B68" s="3"/>
      <c r="C68" s="3"/>
      <c r="D68" s="4"/>
      <c r="E68" s="4"/>
      <c r="F68" s="3"/>
    </row>
    <row r="69" spans="1:6" x14ac:dyDescent="0.2">
      <c r="A69" s="2"/>
      <c r="B69" s="3"/>
      <c r="C69" s="3"/>
      <c r="D69" s="4"/>
      <c r="E69" s="4"/>
      <c r="F69" s="3"/>
    </row>
    <row r="70" spans="1:6" x14ac:dyDescent="0.2">
      <c r="A70" s="2"/>
      <c r="B70" s="3"/>
      <c r="C70" s="3"/>
      <c r="D70" s="4"/>
      <c r="E70" s="4"/>
      <c r="F70" s="3"/>
    </row>
    <row r="71" spans="1:6" x14ac:dyDescent="0.2">
      <c r="A71" s="2"/>
      <c r="B71" s="3"/>
      <c r="C71" s="3"/>
      <c r="D71" s="4"/>
      <c r="E71" s="4"/>
      <c r="F71" s="3"/>
    </row>
    <row r="72" spans="1:6" x14ac:dyDescent="0.2">
      <c r="A72" s="2"/>
      <c r="B72" s="3"/>
      <c r="C72" s="3"/>
      <c r="D72" s="4"/>
      <c r="E72" s="4"/>
      <c r="F72" s="3"/>
    </row>
    <row r="73" spans="1:6" x14ac:dyDescent="0.2">
      <c r="A73" s="2"/>
      <c r="B73" s="3"/>
      <c r="C73" s="3"/>
      <c r="D73" s="4"/>
      <c r="E73" s="4"/>
      <c r="F73" s="3"/>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c r="B83" s="2"/>
      <c r="C83" s="2"/>
      <c r="D83" s="2"/>
      <c r="E83" s="2"/>
      <c r="F83" s="2"/>
    </row>
    <row r="84" spans="1:6" x14ac:dyDescent="0.2">
      <c r="A84" s="2"/>
    </row>
    <row r="85" spans="1:6" x14ac:dyDescent="0.2">
      <c r="A85" s="2"/>
    </row>
    <row r="86" spans="1:6" x14ac:dyDescent="0.2">
      <c r="A86" s="2"/>
    </row>
    <row r="87" spans="1:6" x14ac:dyDescent="0.2">
      <c r="A87" s="2"/>
    </row>
    <row r="88" spans="1:6" x14ac:dyDescent="0.2">
      <c r="A88"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19512-9AC6-453B-B4BA-9D2735E73E7F}">
  <dimension ref="A1:L88"/>
  <sheetViews>
    <sheetView zoomScale="78" zoomScaleNormal="78" workbookViewId="0">
      <pane xSplit="1" ySplit="3" topLeftCell="B34" activePane="bottomRight" state="frozen"/>
      <selection pane="topRight" activeCell="B1" sqref="B1"/>
      <selection pane="bottomLeft" activeCell="A4" sqref="A4"/>
      <selection pane="bottomRight" activeCell="G1" sqref="G1:G1048576"/>
    </sheetView>
  </sheetViews>
  <sheetFormatPr defaultColWidth="9.77734375" defaultRowHeight="14.25" x14ac:dyDescent="0.2"/>
  <cols>
    <col min="1" max="1" width="34.5546875" style="1" customWidth="1"/>
    <col min="2" max="2" width="13.77734375" style="1" customWidth="1"/>
    <col min="3" max="3" width="13.109375" style="1" customWidth="1"/>
    <col min="4" max="4" width="12.77734375" style="1" customWidth="1"/>
    <col min="5" max="5" width="14.5546875" style="1" customWidth="1"/>
    <col min="6" max="6" width="14.6640625" style="1" customWidth="1"/>
    <col min="7" max="8" width="11.33203125" style="1" bestFit="1" customWidth="1"/>
    <col min="9" max="9" width="13.109375" style="38" bestFit="1" customWidth="1"/>
    <col min="10" max="10" width="9.77734375" style="1"/>
    <col min="11" max="11" width="11" style="1" customWidth="1"/>
    <col min="12" max="16384" width="9.77734375" style="1"/>
  </cols>
  <sheetData>
    <row r="1" spans="1:12" ht="18.75" thickBot="1" x14ac:dyDescent="0.3">
      <c r="A1" s="134" t="s">
        <v>158</v>
      </c>
    </row>
    <row r="2" spans="1:12" ht="15.75" thickBot="1" x14ac:dyDescent="0.3">
      <c r="A2" s="21" t="s">
        <v>159</v>
      </c>
      <c r="B2" s="22"/>
      <c r="C2" s="22"/>
      <c r="D2" s="22"/>
      <c r="E2" s="22"/>
      <c r="F2" s="22"/>
    </row>
    <row r="3" spans="1:12" s="7" customFormat="1" ht="47.25" customHeight="1" thickBot="1" x14ac:dyDescent="0.3">
      <c r="A3" s="140"/>
      <c r="B3" s="141" t="s">
        <v>59</v>
      </c>
      <c r="C3" s="141" t="s">
        <v>57</v>
      </c>
      <c r="D3" s="142" t="s">
        <v>3</v>
      </c>
      <c r="E3" s="143" t="s">
        <v>1</v>
      </c>
      <c r="F3" s="165" t="s">
        <v>2</v>
      </c>
      <c r="I3" s="39"/>
    </row>
    <row r="4" spans="1:12" x14ac:dyDescent="0.2">
      <c r="A4" s="150" t="s">
        <v>4</v>
      </c>
      <c r="B4" s="151">
        <v>69436.399684781602</v>
      </c>
      <c r="C4" s="152">
        <v>67186.535805664244</v>
      </c>
      <c r="D4" s="153">
        <v>53.258324293310409</v>
      </c>
      <c r="E4" s="154">
        <v>3578.2423120821772</v>
      </c>
      <c r="F4" s="155">
        <v>97.32819088863522</v>
      </c>
      <c r="G4" s="164"/>
      <c r="H4" s="36"/>
      <c r="I4" s="40"/>
      <c r="K4" s="35"/>
    </row>
    <row r="5" spans="1:12" x14ac:dyDescent="0.2">
      <c r="A5" s="15" t="s">
        <v>5</v>
      </c>
      <c r="B5" s="77">
        <v>225072.97839202912</v>
      </c>
      <c r="C5" s="145">
        <v>223915.56902590391</v>
      </c>
      <c r="D5" s="146">
        <v>54.392784212680503</v>
      </c>
      <c r="E5" s="147">
        <v>12179.391227885559</v>
      </c>
      <c r="F5" s="156">
        <v>331.27944139848717</v>
      </c>
      <c r="G5" s="164"/>
      <c r="H5" s="36"/>
      <c r="I5" s="40"/>
      <c r="K5" s="35"/>
    </row>
    <row r="6" spans="1:12" x14ac:dyDescent="0.2">
      <c r="A6" s="15" t="s">
        <v>6</v>
      </c>
      <c r="B6" s="77">
        <v>112623.23680405552</v>
      </c>
      <c r="C6" s="145">
        <v>112180.30449886047</v>
      </c>
      <c r="D6" s="146">
        <v>53.92301383043484</v>
      </c>
      <c r="E6" s="147">
        <v>6049.1001109944445</v>
      </c>
      <c r="F6" s="156">
        <v>164.5355230190489</v>
      </c>
      <c r="G6" s="164"/>
      <c r="H6" s="36"/>
      <c r="I6" s="40"/>
      <c r="K6" s="35"/>
    </row>
    <row r="7" spans="1:12" x14ac:dyDescent="0.2">
      <c r="A7" s="15" t="s">
        <v>7</v>
      </c>
      <c r="B7" s="77">
        <v>239513.77241335099</v>
      </c>
      <c r="C7" s="145">
        <v>233727.00826667107</v>
      </c>
      <c r="D7" s="146">
        <v>56.432053374120976</v>
      </c>
      <c r="E7" s="147">
        <v>13189.695005478396</v>
      </c>
      <c r="F7" s="156">
        <v>358.75970414901235</v>
      </c>
      <c r="G7" s="164"/>
      <c r="H7" s="36"/>
      <c r="I7" s="40"/>
      <c r="K7" s="35"/>
    </row>
    <row r="8" spans="1:12" x14ac:dyDescent="0.2">
      <c r="A8" s="15" t="s">
        <v>8</v>
      </c>
      <c r="B8" s="77">
        <v>115821.67008587462</v>
      </c>
      <c r="C8" s="145">
        <v>113473.19679643698</v>
      </c>
      <c r="D8" s="146">
        <v>49.957017534512545</v>
      </c>
      <c r="E8" s="147">
        <v>5668.7824820567948</v>
      </c>
      <c r="F8" s="156">
        <v>154.1908835119448</v>
      </c>
      <c r="G8" s="164"/>
      <c r="H8" s="36"/>
      <c r="I8" s="40"/>
      <c r="K8" s="35"/>
    </row>
    <row r="9" spans="1:12" x14ac:dyDescent="0.2">
      <c r="A9" s="15" t="s">
        <v>9</v>
      </c>
      <c r="B9" s="77">
        <v>15660.72767876589</v>
      </c>
      <c r="C9" s="145">
        <v>14645.658282432154</v>
      </c>
      <c r="D9" s="146">
        <v>56.094838528199269</v>
      </c>
      <c r="E9" s="147">
        <v>821.54583649221593</v>
      </c>
      <c r="F9" s="156">
        <v>22.346046752588272</v>
      </c>
      <c r="G9" s="164"/>
      <c r="H9" s="36"/>
      <c r="I9" s="40"/>
      <c r="K9" s="35"/>
    </row>
    <row r="10" spans="1:12" x14ac:dyDescent="0.2">
      <c r="A10" s="15" t="s">
        <v>10</v>
      </c>
      <c r="B10" s="77">
        <v>191694.3378646076</v>
      </c>
      <c r="C10" s="145">
        <v>190335.1551415447</v>
      </c>
      <c r="D10" s="146">
        <v>52.481674478955235</v>
      </c>
      <c r="E10" s="147">
        <v>9989.1076540399918</v>
      </c>
      <c r="F10" s="156">
        <v>271.70372818988778</v>
      </c>
      <c r="G10" s="164"/>
      <c r="H10" s="36"/>
      <c r="I10" s="40"/>
      <c r="K10" s="35"/>
    </row>
    <row r="11" spans="1:12" x14ac:dyDescent="0.2">
      <c r="A11" s="15" t="s">
        <v>11</v>
      </c>
      <c r="B11" s="77">
        <v>254805.98403258566</v>
      </c>
      <c r="C11" s="145">
        <v>250862.20856287601</v>
      </c>
      <c r="D11" s="146">
        <v>55.114130682886</v>
      </c>
      <c r="E11" s="147">
        <v>13826.052546131752</v>
      </c>
      <c r="F11" s="156">
        <v>376.06862925478362</v>
      </c>
      <c r="G11" s="164"/>
      <c r="H11" s="36"/>
      <c r="I11" s="40"/>
      <c r="K11" s="35"/>
    </row>
    <row r="12" spans="1:12" x14ac:dyDescent="0.2">
      <c r="A12" s="15" t="s">
        <v>12</v>
      </c>
      <c r="B12" s="77">
        <v>68877.500228464953</v>
      </c>
      <c r="C12" s="145">
        <v>68608.648800681913</v>
      </c>
      <c r="D12" s="146">
        <v>49.425977521902986</v>
      </c>
      <c r="E12" s="147">
        <v>3391.0495334306406</v>
      </c>
      <c r="F12" s="156">
        <v>92.236547309313423</v>
      </c>
      <c r="G12" s="164"/>
      <c r="H12" s="36"/>
      <c r="I12" s="40"/>
      <c r="K12" s="35"/>
    </row>
    <row r="13" spans="1:12" x14ac:dyDescent="0.2">
      <c r="A13" s="15" t="s">
        <v>13</v>
      </c>
      <c r="B13" s="77">
        <v>94193.392815484156</v>
      </c>
      <c r="C13" s="145">
        <v>92065.714818928493</v>
      </c>
      <c r="D13" s="146">
        <v>55.851771764561818</v>
      </c>
      <c r="E13" s="147">
        <v>5142.0332914080309</v>
      </c>
      <c r="F13" s="156">
        <v>139.86330552629843</v>
      </c>
      <c r="G13" s="164"/>
      <c r="H13" s="36"/>
      <c r="I13" s="40"/>
      <c r="K13" s="35"/>
    </row>
    <row r="14" spans="1:12" s="5" customFormat="1" ht="15" x14ac:dyDescent="0.25">
      <c r="A14" s="16" t="s">
        <v>14</v>
      </c>
      <c r="B14" s="81">
        <v>1387700</v>
      </c>
      <c r="C14" s="81">
        <v>1366999.9999999998</v>
      </c>
      <c r="D14" s="148">
        <v>54.012435991221665</v>
      </c>
      <c r="E14" s="81">
        <v>73835</v>
      </c>
      <c r="F14" s="157">
        <v>2008.3119999999999</v>
      </c>
      <c r="G14" s="164"/>
      <c r="H14" s="37"/>
      <c r="I14" s="41"/>
      <c r="K14" s="35"/>
      <c r="L14" s="1"/>
    </row>
    <row r="15" spans="1:12" x14ac:dyDescent="0.2">
      <c r="A15" s="15" t="s">
        <v>15</v>
      </c>
      <c r="B15" s="77">
        <v>115216.93802362899</v>
      </c>
      <c r="C15" s="145">
        <v>114700.22248986611</v>
      </c>
      <c r="D15" s="146">
        <v>50.359796047876095</v>
      </c>
      <c r="E15" s="147">
        <v>5776.2798112356686</v>
      </c>
      <c r="F15" s="156">
        <v>157.11481086561017</v>
      </c>
      <c r="G15" s="164"/>
      <c r="H15" s="36"/>
      <c r="I15" s="40"/>
      <c r="K15" s="35"/>
    </row>
    <row r="16" spans="1:12" x14ac:dyDescent="0.2">
      <c r="A16" s="15" t="s">
        <v>16</v>
      </c>
      <c r="B16" s="77">
        <v>36204.622409239011</v>
      </c>
      <c r="C16" s="145">
        <v>36114.612720650861</v>
      </c>
      <c r="D16" s="146">
        <v>50.382069806644964</v>
      </c>
      <c r="E16" s="147">
        <v>1819.5289391317797</v>
      </c>
      <c r="F16" s="156">
        <v>49.491187144384405</v>
      </c>
      <c r="G16" s="164"/>
      <c r="H16" s="36"/>
      <c r="I16" s="40"/>
      <c r="K16" s="35"/>
    </row>
    <row r="17" spans="1:12" x14ac:dyDescent="0.2">
      <c r="A17" s="15" t="s">
        <v>17</v>
      </c>
      <c r="B17" s="77">
        <v>90197.994729718368</v>
      </c>
      <c r="C17" s="145">
        <v>89956.731093681447</v>
      </c>
      <c r="D17" s="146">
        <v>51.242216800819605</v>
      </c>
      <c r="E17" s="147">
        <v>4609.582317395455</v>
      </c>
      <c r="F17" s="156">
        <v>125.38063903315637</v>
      </c>
      <c r="G17" s="164"/>
      <c r="H17" s="36"/>
      <c r="I17" s="40"/>
      <c r="K17" s="35"/>
    </row>
    <row r="18" spans="1:12" x14ac:dyDescent="0.2">
      <c r="A18" s="15" t="s">
        <v>18</v>
      </c>
      <c r="B18" s="77">
        <v>19697.704894545164</v>
      </c>
      <c r="C18" s="145">
        <v>19673.980502984698</v>
      </c>
      <c r="D18" s="146">
        <v>46.376295679054422</v>
      </c>
      <c r="E18" s="147">
        <v>912.40633699037016</v>
      </c>
      <c r="F18" s="156">
        <v>24.817452366138067</v>
      </c>
      <c r="G18" s="164"/>
      <c r="H18" s="36"/>
      <c r="I18" s="40"/>
      <c r="K18" s="35"/>
    </row>
    <row r="19" spans="1:12" x14ac:dyDescent="0.2">
      <c r="A19" s="15" t="s">
        <v>19</v>
      </c>
      <c r="B19" s="77">
        <v>178502.74793178972</v>
      </c>
      <c r="C19" s="145">
        <v>178100.28129062097</v>
      </c>
      <c r="D19" s="146">
        <v>54.896717018751332</v>
      </c>
      <c r="E19" s="147">
        <v>9777.1207429712322</v>
      </c>
      <c r="F19" s="156">
        <v>265.93768420881747</v>
      </c>
      <c r="G19" s="164"/>
      <c r="H19" s="36"/>
      <c r="I19" s="40"/>
      <c r="K19" s="35"/>
    </row>
    <row r="20" spans="1:12" x14ac:dyDescent="0.2">
      <c r="A20" s="15" t="s">
        <v>20</v>
      </c>
      <c r="B20" s="77">
        <v>21683.525587303619</v>
      </c>
      <c r="C20" s="145">
        <v>21494.317632880535</v>
      </c>
      <c r="D20" s="146">
        <v>47.900627363222938</v>
      </c>
      <c r="E20" s="147">
        <v>1029.5912993593627</v>
      </c>
      <c r="F20" s="156">
        <v>28.004883342574661</v>
      </c>
      <c r="G20" s="164"/>
      <c r="H20" s="36"/>
      <c r="I20" s="40"/>
      <c r="K20" s="35"/>
    </row>
    <row r="21" spans="1:12" x14ac:dyDescent="0.2">
      <c r="A21" s="15" t="s">
        <v>21</v>
      </c>
      <c r="B21" s="77">
        <v>98014.53950542392</v>
      </c>
      <c r="C21" s="145">
        <v>97886.364335130085</v>
      </c>
      <c r="D21" s="146">
        <v>57.123141558961301</v>
      </c>
      <c r="E21" s="147">
        <v>5591.5766466076966</v>
      </c>
      <c r="F21" s="156">
        <v>152.09088478772935</v>
      </c>
      <c r="G21" s="164"/>
      <c r="H21" s="36"/>
      <c r="I21" s="40"/>
      <c r="K21" s="35"/>
    </row>
    <row r="22" spans="1:12" x14ac:dyDescent="0.2">
      <c r="A22" s="15" t="s">
        <v>22</v>
      </c>
      <c r="B22" s="77">
        <v>92850.6196276884</v>
      </c>
      <c r="C22" s="145">
        <v>92706.12094176712</v>
      </c>
      <c r="D22" s="146">
        <v>50.757251495570898</v>
      </c>
      <c r="E22" s="147">
        <v>4705.5078958200857</v>
      </c>
      <c r="F22" s="156">
        <v>127.98981476630632</v>
      </c>
      <c r="G22" s="164"/>
      <c r="H22" s="36"/>
      <c r="I22" s="40"/>
      <c r="K22" s="35"/>
    </row>
    <row r="23" spans="1:12" x14ac:dyDescent="0.2">
      <c r="A23" s="15" t="s">
        <v>23</v>
      </c>
      <c r="B23" s="77">
        <v>57710.840669426012</v>
      </c>
      <c r="C23" s="145">
        <v>57187.895294757</v>
      </c>
      <c r="D23" s="146">
        <v>54.054975345495777</v>
      </c>
      <c r="E23" s="147">
        <v>3091.2902702188835</v>
      </c>
      <c r="F23" s="156">
        <v>84.083095349953624</v>
      </c>
      <c r="G23" s="164"/>
      <c r="H23" s="36"/>
      <c r="I23" s="40"/>
      <c r="K23" s="35"/>
    </row>
    <row r="24" spans="1:12" x14ac:dyDescent="0.2">
      <c r="A24" s="15" t="s">
        <v>24</v>
      </c>
      <c r="B24" s="77">
        <v>110320.46662123679</v>
      </c>
      <c r="C24" s="145">
        <v>108179.47369766109</v>
      </c>
      <c r="D24" s="146">
        <v>52.229092517683675</v>
      </c>
      <c r="E24" s="147">
        <v>5650.1157402694689</v>
      </c>
      <c r="F24" s="156">
        <v>153.68314813532956</v>
      </c>
      <c r="G24" s="164"/>
      <c r="H24" s="36"/>
      <c r="I24" s="40"/>
      <c r="K24" s="35"/>
    </row>
    <row r="25" spans="1:12" s="5" customFormat="1" ht="15" x14ac:dyDescent="0.25">
      <c r="A25" s="16" t="s">
        <v>25</v>
      </c>
      <c r="B25" s="81">
        <v>820400</v>
      </c>
      <c r="C25" s="81">
        <v>815999.99999999988</v>
      </c>
      <c r="D25" s="148">
        <v>52.650735294117659</v>
      </c>
      <c r="E25" s="81">
        <v>42963</v>
      </c>
      <c r="F25" s="157">
        <v>1168.5935999999999</v>
      </c>
      <c r="G25" s="164"/>
      <c r="H25" s="37"/>
      <c r="I25" s="41"/>
      <c r="K25" s="35"/>
      <c r="L25" s="1"/>
    </row>
    <row r="26" spans="1:12" x14ac:dyDescent="0.2">
      <c r="A26" s="15" t="s">
        <v>26</v>
      </c>
      <c r="B26" s="77">
        <v>57603.767098398843</v>
      </c>
      <c r="C26" s="145">
        <v>57589.479803118062</v>
      </c>
      <c r="D26" s="146">
        <v>45.381789192662353</v>
      </c>
      <c r="E26" s="147">
        <v>2613.5136321401901</v>
      </c>
      <c r="F26" s="156">
        <v>71.087570794213164</v>
      </c>
      <c r="G26" s="164"/>
      <c r="H26" s="36"/>
      <c r="I26" s="40"/>
      <c r="K26" s="35"/>
    </row>
    <row r="27" spans="1:12" x14ac:dyDescent="0.2">
      <c r="A27" s="15" t="s">
        <v>27</v>
      </c>
      <c r="B27" s="162">
        <v>0</v>
      </c>
      <c r="C27" s="162">
        <v>0</v>
      </c>
      <c r="D27" s="162">
        <v>0</v>
      </c>
      <c r="E27" s="162">
        <v>0</v>
      </c>
      <c r="F27" s="156">
        <v>0</v>
      </c>
      <c r="G27" s="164"/>
      <c r="H27" s="36"/>
      <c r="I27" s="40"/>
      <c r="K27" s="35"/>
    </row>
    <row r="28" spans="1:12" x14ac:dyDescent="0.2">
      <c r="A28" s="15" t="s">
        <v>28</v>
      </c>
      <c r="B28" s="77">
        <v>26649.065383988127</v>
      </c>
      <c r="C28" s="145">
        <v>26648.058141220394</v>
      </c>
      <c r="D28" s="146">
        <v>44.250638624299661</v>
      </c>
      <c r="E28" s="147">
        <v>1179.1935908464702</v>
      </c>
      <c r="F28" s="156">
        <v>32.074065671023988</v>
      </c>
      <c r="G28" s="164"/>
      <c r="H28" s="36"/>
      <c r="I28" s="40"/>
      <c r="K28" s="35"/>
    </row>
    <row r="29" spans="1:12" x14ac:dyDescent="0.2">
      <c r="A29" s="15" t="s">
        <v>29</v>
      </c>
      <c r="B29" s="77">
        <v>43783.57885202684</v>
      </c>
      <c r="C29" s="145">
        <v>43781.923983741261</v>
      </c>
      <c r="D29" s="146">
        <v>44.872608991078245</v>
      </c>
      <c r="E29" s="147">
        <v>1964.6091557995321</v>
      </c>
      <c r="F29" s="156">
        <v>53.437369037747274</v>
      </c>
      <c r="G29" s="164"/>
      <c r="H29" s="36"/>
      <c r="I29" s="40"/>
      <c r="K29" s="35"/>
    </row>
    <row r="30" spans="1:12" x14ac:dyDescent="0.2">
      <c r="A30" s="15" t="s">
        <v>30</v>
      </c>
      <c r="B30" s="149">
        <v>0</v>
      </c>
      <c r="C30" s="149">
        <v>0</v>
      </c>
      <c r="D30" s="149">
        <v>0</v>
      </c>
      <c r="E30" s="149">
        <v>0</v>
      </c>
      <c r="F30" s="156">
        <v>0</v>
      </c>
      <c r="G30" s="164"/>
      <c r="H30" s="36"/>
      <c r="I30" s="40"/>
      <c r="K30" s="35"/>
    </row>
    <row r="31" spans="1:12" x14ac:dyDescent="0.2">
      <c r="A31" s="15" t="s">
        <v>31</v>
      </c>
      <c r="B31" s="77">
        <v>47050.137893103762</v>
      </c>
      <c r="C31" s="145">
        <v>47037.519729810658</v>
      </c>
      <c r="D31" s="146">
        <v>43.639391146080726</v>
      </c>
      <c r="E31" s="147">
        <v>2052.6887220306967</v>
      </c>
      <c r="F31" s="156">
        <v>55.833133239234947</v>
      </c>
      <c r="G31" s="164"/>
      <c r="H31" s="36"/>
      <c r="I31" s="40"/>
      <c r="K31" s="35"/>
    </row>
    <row r="32" spans="1:12" x14ac:dyDescent="0.2">
      <c r="A32" s="15" t="s">
        <v>32</v>
      </c>
      <c r="B32" s="162">
        <v>0</v>
      </c>
      <c r="C32" s="162">
        <v>0</v>
      </c>
      <c r="D32" s="162">
        <v>0</v>
      </c>
      <c r="E32" s="162">
        <v>0</v>
      </c>
      <c r="F32" s="156">
        <v>0</v>
      </c>
      <c r="G32" s="164"/>
      <c r="H32" s="36"/>
      <c r="I32" s="40"/>
      <c r="K32" s="35"/>
    </row>
    <row r="33" spans="1:12" x14ac:dyDescent="0.2">
      <c r="A33" s="15" t="s">
        <v>33</v>
      </c>
      <c r="B33" s="77">
        <v>22542.386130709823</v>
      </c>
      <c r="C33" s="145">
        <v>22536.690077639101</v>
      </c>
      <c r="D33" s="146">
        <v>44.351704052048113</v>
      </c>
      <c r="E33" s="147">
        <v>999.54060863617872</v>
      </c>
      <c r="F33" s="156">
        <v>27.187504554904059</v>
      </c>
      <c r="G33" s="164"/>
      <c r="H33" s="36"/>
      <c r="I33" s="40"/>
      <c r="K33" s="35"/>
    </row>
    <row r="34" spans="1:12" x14ac:dyDescent="0.2">
      <c r="A34" s="15" t="s">
        <v>34</v>
      </c>
      <c r="B34" s="77">
        <v>19315.818163484299</v>
      </c>
      <c r="C34" s="145">
        <v>19312.666077863421</v>
      </c>
      <c r="D34" s="146">
        <v>42.888223591360699</v>
      </c>
      <c r="E34" s="147">
        <v>828.28594089269347</v>
      </c>
      <c r="F34" s="156">
        <v>22.529377592281261</v>
      </c>
      <c r="G34" s="164"/>
      <c r="H34" s="36"/>
      <c r="I34" s="40"/>
      <c r="K34" s="35"/>
    </row>
    <row r="35" spans="1:12" x14ac:dyDescent="0.2">
      <c r="A35" s="15" t="s">
        <v>35</v>
      </c>
      <c r="B35" s="77">
        <v>27355.246478288285</v>
      </c>
      <c r="C35" s="145">
        <v>27293.662186607136</v>
      </c>
      <c r="D35" s="146">
        <v>44.155611709945205</v>
      </c>
      <c r="E35" s="147">
        <v>1205.1683496542387</v>
      </c>
      <c r="F35" s="156">
        <v>32.780579110595291</v>
      </c>
      <c r="G35" s="164"/>
      <c r="H35" s="36"/>
      <c r="I35" s="40"/>
      <c r="K35" s="35"/>
    </row>
    <row r="36" spans="1:12" s="5" customFormat="1" ht="15" x14ac:dyDescent="0.25">
      <c r="A36" s="16" t="s">
        <v>36</v>
      </c>
      <c r="B36" s="81">
        <v>244299.99999999997</v>
      </c>
      <c r="C36" s="81">
        <v>244200.00000000003</v>
      </c>
      <c r="D36" s="148">
        <v>44.402129402129397</v>
      </c>
      <c r="E36" s="81">
        <v>10843</v>
      </c>
      <c r="F36" s="157">
        <v>294.92959999999999</v>
      </c>
      <c r="G36" s="164"/>
      <c r="H36" s="37"/>
      <c r="I36" s="41"/>
      <c r="K36" s="35"/>
      <c r="L36" s="1"/>
    </row>
    <row r="37" spans="1:12" x14ac:dyDescent="0.2">
      <c r="A37" s="15" t="s">
        <v>37</v>
      </c>
      <c r="B37" s="77">
        <v>18299.370713036529</v>
      </c>
      <c r="C37" s="145">
        <v>18279.536664816787</v>
      </c>
      <c r="D37" s="146">
        <v>45.044677883176419</v>
      </c>
      <c r="E37" s="147">
        <v>823.39584092038513</v>
      </c>
      <c r="F37" s="156">
        <v>22.396366873034474</v>
      </c>
      <c r="G37" s="164"/>
      <c r="H37" s="36"/>
      <c r="I37" s="40"/>
      <c r="K37" s="35"/>
    </row>
    <row r="38" spans="1:12" x14ac:dyDescent="0.2">
      <c r="A38" s="15" t="s">
        <v>38</v>
      </c>
      <c r="B38" s="77">
        <v>13503.513257827959</v>
      </c>
      <c r="C38" s="145">
        <v>13460.356837378797</v>
      </c>
      <c r="D38" s="146">
        <v>49.103210163875893</v>
      </c>
      <c r="E38" s="147">
        <v>660.94673066657492</v>
      </c>
      <c r="F38" s="156">
        <v>17.977751074130836</v>
      </c>
      <c r="G38" s="164"/>
      <c r="H38" s="36"/>
      <c r="I38" s="40"/>
      <c r="K38" s="35"/>
    </row>
    <row r="39" spans="1:12" x14ac:dyDescent="0.2">
      <c r="A39" s="15" t="s">
        <v>39</v>
      </c>
      <c r="B39" s="77">
        <v>44853.339248220364</v>
      </c>
      <c r="C39" s="145">
        <v>44765.109149680204</v>
      </c>
      <c r="D39" s="146">
        <v>47.681474911549479</v>
      </c>
      <c r="E39" s="147">
        <v>2134.4664288332506</v>
      </c>
      <c r="F39" s="156">
        <v>58.057486864264412</v>
      </c>
      <c r="G39" s="164"/>
      <c r="H39" s="36"/>
      <c r="I39" s="40"/>
      <c r="K39" s="35"/>
    </row>
    <row r="40" spans="1:12" x14ac:dyDescent="0.2">
      <c r="A40" s="15" t="s">
        <v>40</v>
      </c>
      <c r="B40" s="77">
        <v>23752.431640073304</v>
      </c>
      <c r="C40" s="145">
        <v>23593.967541293267</v>
      </c>
      <c r="D40" s="146">
        <v>45.785474016963946</v>
      </c>
      <c r="E40" s="147">
        <v>1080.2609878189735</v>
      </c>
      <c r="F40" s="156">
        <v>29.383098868676079</v>
      </c>
      <c r="G40" s="164"/>
      <c r="H40" s="36"/>
      <c r="I40" s="40"/>
      <c r="K40" s="35"/>
    </row>
    <row r="41" spans="1:12" x14ac:dyDescent="0.2">
      <c r="A41" s="15" t="s">
        <v>41</v>
      </c>
      <c r="B41" s="77">
        <v>63393.487300142428</v>
      </c>
      <c r="C41" s="145">
        <v>63106.006618092266</v>
      </c>
      <c r="D41" s="146">
        <v>49.035395023904698</v>
      </c>
      <c r="E41" s="147">
        <v>3094.4279628992986</v>
      </c>
      <c r="F41" s="156">
        <v>84.168440590860911</v>
      </c>
      <c r="G41" s="164"/>
      <c r="H41" s="36"/>
      <c r="I41" s="40"/>
      <c r="K41" s="35"/>
    </row>
    <row r="42" spans="1:12" x14ac:dyDescent="0.2">
      <c r="A42" s="15" t="s">
        <v>42</v>
      </c>
      <c r="B42" s="77">
        <v>103835.23486908838</v>
      </c>
      <c r="C42" s="145">
        <v>99315.103499490695</v>
      </c>
      <c r="D42" s="146">
        <v>46.778790209003581</v>
      </c>
      <c r="E42" s="147">
        <v>4645.8403911881524</v>
      </c>
      <c r="F42" s="156">
        <v>126.36685864031773</v>
      </c>
      <c r="G42" s="164"/>
      <c r="H42" s="36"/>
      <c r="I42" s="40"/>
      <c r="K42" s="35"/>
    </row>
    <row r="43" spans="1:12" x14ac:dyDescent="0.2">
      <c r="A43" s="15" t="s">
        <v>43</v>
      </c>
      <c r="B43" s="77">
        <v>41825.070373183116</v>
      </c>
      <c r="C43" s="145">
        <v>41592.770362820338</v>
      </c>
      <c r="D43" s="146">
        <v>45.019219688595683</v>
      </c>
      <c r="E43" s="147">
        <v>1872.4740664211206</v>
      </c>
      <c r="F43" s="156">
        <v>50.931294606654475</v>
      </c>
      <c r="G43" s="164"/>
      <c r="H43" s="36"/>
      <c r="I43" s="40"/>
      <c r="K43" s="35"/>
    </row>
    <row r="44" spans="1:12" x14ac:dyDescent="0.2">
      <c r="A44" s="15" t="s">
        <v>44</v>
      </c>
      <c r="B44" s="77">
        <v>140937.55259842792</v>
      </c>
      <c r="C44" s="145">
        <v>140487.14932642764</v>
      </c>
      <c r="D44" s="146">
        <v>48.603645415187934</v>
      </c>
      <c r="E44" s="147">
        <v>6828.1875912522473</v>
      </c>
      <c r="F44" s="156">
        <v>185.72670248206111</v>
      </c>
      <c r="G44" s="164"/>
      <c r="H44" s="36"/>
      <c r="I44" s="40"/>
      <c r="K44" s="35"/>
    </row>
    <row r="45" spans="1:12" s="5" customFormat="1" ht="15" x14ac:dyDescent="0.25">
      <c r="A45" s="16" t="s">
        <v>45</v>
      </c>
      <c r="B45" s="81">
        <v>450400</v>
      </c>
      <c r="C45" s="81">
        <v>444600</v>
      </c>
      <c r="D45" s="148">
        <v>47.548358074673871</v>
      </c>
      <c r="E45" s="81">
        <v>21140.000000000004</v>
      </c>
      <c r="F45" s="157">
        <v>575.00800000000004</v>
      </c>
      <c r="G45" s="164"/>
      <c r="H45" s="37"/>
      <c r="I45" s="41"/>
      <c r="K45" s="35"/>
      <c r="L45" s="1"/>
    </row>
    <row r="46" spans="1:12" x14ac:dyDescent="0.2">
      <c r="A46" s="15" t="s">
        <v>46</v>
      </c>
      <c r="B46" s="162">
        <v>522.50962792249152</v>
      </c>
      <c r="C46" s="162">
        <v>520.93580374200201</v>
      </c>
      <c r="D46" s="162">
        <v>36.827794561933537</v>
      </c>
      <c r="E46" s="162">
        <v>19.184916760166178</v>
      </c>
      <c r="F46" s="156">
        <v>0.52182973587652004</v>
      </c>
      <c r="G46" s="164"/>
      <c r="H46" s="36"/>
      <c r="I46" s="40"/>
      <c r="K46" s="35"/>
    </row>
    <row r="47" spans="1:12" x14ac:dyDescent="0.2">
      <c r="A47" s="15" t="s">
        <v>47</v>
      </c>
      <c r="B47" s="162">
        <v>227.52827728416776</v>
      </c>
      <c r="C47" s="162">
        <v>226.84295114776967</v>
      </c>
      <c r="D47" s="162">
        <v>36.82779456193353</v>
      </c>
      <c r="E47" s="162">
        <v>8.3541256026927861</v>
      </c>
      <c r="F47" s="156">
        <v>0.22723221639324376</v>
      </c>
      <c r="G47" s="164"/>
      <c r="H47" s="36"/>
      <c r="I47" s="40"/>
      <c r="K47" s="35"/>
    </row>
    <row r="48" spans="1:12" x14ac:dyDescent="0.2">
      <c r="A48" s="17" t="s">
        <v>48</v>
      </c>
      <c r="B48" s="162">
        <v>0</v>
      </c>
      <c r="C48" s="162">
        <v>0</v>
      </c>
      <c r="D48" s="162">
        <v>0</v>
      </c>
      <c r="E48" s="162">
        <v>0</v>
      </c>
      <c r="F48" s="156">
        <v>0</v>
      </c>
      <c r="G48" s="164"/>
      <c r="H48" s="36"/>
      <c r="I48" s="40"/>
      <c r="K48" s="35"/>
    </row>
    <row r="49" spans="1:12" x14ac:dyDescent="0.2">
      <c r="A49" s="15" t="s">
        <v>49</v>
      </c>
      <c r="B49" s="162">
        <v>0</v>
      </c>
      <c r="C49" s="162">
        <v>0</v>
      </c>
      <c r="D49" s="162">
        <v>0</v>
      </c>
      <c r="E49" s="162">
        <v>0</v>
      </c>
      <c r="F49" s="156">
        <v>0</v>
      </c>
      <c r="G49" s="164"/>
      <c r="H49" s="36"/>
      <c r="I49" s="40"/>
      <c r="K49" s="35"/>
    </row>
    <row r="50" spans="1:12" x14ac:dyDescent="0.2">
      <c r="A50" s="15" t="s">
        <v>50</v>
      </c>
      <c r="B50" s="162">
        <v>33.223155532643965</v>
      </c>
      <c r="C50" s="162">
        <v>33.123085787063708</v>
      </c>
      <c r="D50" s="162">
        <v>36.827794561933537</v>
      </c>
      <c r="E50" s="162">
        <v>1.2198501986232828</v>
      </c>
      <c r="F50" s="156">
        <v>3.3179925402553288E-2</v>
      </c>
      <c r="G50" s="164"/>
      <c r="H50" s="36"/>
      <c r="I50" s="40"/>
      <c r="K50" s="35"/>
    </row>
    <row r="51" spans="1:12" x14ac:dyDescent="0.2">
      <c r="A51" s="15" t="s">
        <v>51</v>
      </c>
      <c r="B51" s="147">
        <v>2605.5008035903811</v>
      </c>
      <c r="C51" s="145">
        <v>2597.6529096036634</v>
      </c>
      <c r="D51" s="146">
        <v>36.82779456193353</v>
      </c>
      <c r="E51" s="147">
        <v>95.665827698092613</v>
      </c>
      <c r="F51" s="156">
        <v>2.6021105133881188</v>
      </c>
      <c r="G51" s="164"/>
      <c r="H51" s="36"/>
      <c r="I51" s="40"/>
      <c r="K51" s="35"/>
    </row>
    <row r="52" spans="1:12" x14ac:dyDescent="0.2">
      <c r="A52" s="15" t="s">
        <v>52</v>
      </c>
      <c r="B52" s="147">
        <v>6279.1763956697087</v>
      </c>
      <c r="C52" s="145">
        <v>6260.2632137550409</v>
      </c>
      <c r="D52" s="146">
        <v>36.827794561933537</v>
      </c>
      <c r="E52" s="147">
        <v>230.55168753980047</v>
      </c>
      <c r="F52" s="156">
        <v>6.2710059010825727</v>
      </c>
      <c r="G52" s="164"/>
      <c r="H52" s="36"/>
      <c r="I52" s="40"/>
      <c r="K52" s="35"/>
    </row>
    <row r="53" spans="1:12" x14ac:dyDescent="0.2">
      <c r="A53" s="15" t="s">
        <v>53</v>
      </c>
      <c r="B53" s="162">
        <v>419.81987445795551</v>
      </c>
      <c r="C53" s="162">
        <v>418.55535676380504</v>
      </c>
      <c r="D53" s="162">
        <v>36.827794561933537</v>
      </c>
      <c r="E53" s="162">
        <v>15.414470691694211</v>
      </c>
      <c r="F53" s="156">
        <v>0.41927360281408249</v>
      </c>
      <c r="G53" s="164"/>
      <c r="H53" s="36"/>
      <c r="I53" s="40"/>
      <c r="K53" s="35"/>
    </row>
    <row r="54" spans="1:12" x14ac:dyDescent="0.2">
      <c r="A54" s="15" t="s">
        <v>54</v>
      </c>
      <c r="B54" s="162">
        <v>75.507171665099918</v>
      </c>
      <c r="C54" s="162">
        <v>75.279740425144794</v>
      </c>
      <c r="D54" s="162">
        <v>36.82779456193353</v>
      </c>
      <c r="E54" s="162">
        <v>2.7723868150529154</v>
      </c>
      <c r="F54" s="156">
        <v>7.5408921369439288E-2</v>
      </c>
      <c r="G54" s="164"/>
      <c r="H54" s="36"/>
      <c r="I54" s="40"/>
      <c r="K54" s="35"/>
    </row>
    <row r="55" spans="1:12" x14ac:dyDescent="0.2">
      <c r="A55" s="15" t="s">
        <v>55</v>
      </c>
      <c r="B55" s="77">
        <v>23036.734693877552</v>
      </c>
      <c r="C55" s="145">
        <v>22967.34693877551</v>
      </c>
      <c r="D55" s="146">
        <v>36.827794561933537</v>
      </c>
      <c r="E55" s="147">
        <v>845.83673469387759</v>
      </c>
      <c r="F55" s="156">
        <v>23.00675918367347</v>
      </c>
      <c r="G55" s="164"/>
      <c r="H55" s="36"/>
      <c r="I55" s="40"/>
      <c r="K55" s="35"/>
    </row>
    <row r="56" spans="1:12" s="5" customFormat="1" ht="15" x14ac:dyDescent="0.25">
      <c r="A56" s="16" t="s">
        <v>56</v>
      </c>
      <c r="B56" s="81">
        <v>33200</v>
      </c>
      <c r="C56" s="81">
        <v>33100</v>
      </c>
      <c r="D56" s="148">
        <v>36.82779456193353</v>
      </c>
      <c r="E56" s="81">
        <v>1219</v>
      </c>
      <c r="F56" s="157">
        <v>33.156799999999997</v>
      </c>
      <c r="G56" s="164"/>
      <c r="H56" s="37"/>
      <c r="I56" s="41"/>
      <c r="K56" s="35"/>
      <c r="L56" s="1"/>
    </row>
    <row r="57" spans="1:12" s="5" customFormat="1" ht="15.75" thickBot="1" x14ac:dyDescent="0.3">
      <c r="A57" s="18" t="s">
        <v>0</v>
      </c>
      <c r="B57" s="89">
        <v>2936000</v>
      </c>
      <c r="C57" s="158">
        <v>2904900</v>
      </c>
      <c r="D57" s="159">
        <v>51.636889393782923</v>
      </c>
      <c r="E57" s="160">
        <v>150000</v>
      </c>
      <c r="F57" s="161">
        <v>4080</v>
      </c>
      <c r="G57" s="164"/>
      <c r="H57" s="37"/>
      <c r="I57" s="41"/>
      <c r="K57" s="35"/>
      <c r="L57" s="1"/>
    </row>
    <row r="58" spans="1:12" s="5" customFormat="1" ht="15" x14ac:dyDescent="0.25">
      <c r="A58" s="1" t="s">
        <v>156</v>
      </c>
      <c r="B58" s="6"/>
      <c r="C58" s="6"/>
      <c r="D58" s="6"/>
      <c r="E58" s="6"/>
      <c r="F58" s="6"/>
      <c r="I58" s="42"/>
    </row>
    <row r="59" spans="1:12" s="9" customFormat="1" x14ac:dyDescent="0.2">
      <c r="A59" s="8"/>
      <c r="B59" s="166">
        <v>2936000</v>
      </c>
      <c r="C59" s="166">
        <v>2904900</v>
      </c>
      <c r="D59" s="167">
        <v>51.6</v>
      </c>
      <c r="E59" s="166">
        <v>150000</v>
      </c>
      <c r="F59" s="163"/>
      <c r="I59" s="43"/>
    </row>
    <row r="60" spans="1:12" ht="210.75" customHeight="1" x14ac:dyDescent="0.2">
      <c r="A60" s="23" t="s">
        <v>58</v>
      </c>
      <c r="B60" s="23"/>
      <c r="C60" s="23"/>
      <c r="D60" s="23"/>
      <c r="E60" s="23"/>
      <c r="F60" s="23"/>
    </row>
    <row r="61" spans="1:12" ht="15" x14ac:dyDescent="0.25">
      <c r="A61" s="10" t="s">
        <v>60</v>
      </c>
      <c r="B61" s="3"/>
      <c r="C61" s="3"/>
      <c r="D61" s="4"/>
      <c r="E61" s="4"/>
      <c r="F61" s="3"/>
    </row>
    <row r="62" spans="1:12" x14ac:dyDescent="0.2">
      <c r="A62" s="45">
        <v>44621</v>
      </c>
      <c r="B62" s="3"/>
      <c r="C62" s="3"/>
      <c r="D62" s="4"/>
      <c r="E62" s="4"/>
      <c r="F62" s="3"/>
    </row>
    <row r="63" spans="1:12" x14ac:dyDescent="0.2">
      <c r="A63" s="2"/>
      <c r="B63" s="3"/>
      <c r="C63" s="3"/>
      <c r="D63" s="4"/>
      <c r="E63" s="4"/>
      <c r="F63" s="3"/>
    </row>
    <row r="64" spans="1:12" x14ac:dyDescent="0.2">
      <c r="A64" s="2"/>
      <c r="B64" s="3"/>
      <c r="C64" s="3"/>
      <c r="D64" s="4"/>
      <c r="E64" s="4"/>
      <c r="F64" s="3"/>
    </row>
    <row r="65" spans="1:6" x14ac:dyDescent="0.2">
      <c r="A65" s="2"/>
      <c r="B65" s="3"/>
      <c r="C65" s="3"/>
      <c r="D65" s="4"/>
      <c r="E65" s="4"/>
      <c r="F65" s="3"/>
    </row>
    <row r="66" spans="1:6" x14ac:dyDescent="0.2">
      <c r="A66" s="2"/>
      <c r="B66" s="3"/>
      <c r="C66" s="3"/>
      <c r="D66" s="4"/>
      <c r="E66" s="4"/>
      <c r="F66" s="3"/>
    </row>
    <row r="67" spans="1:6" x14ac:dyDescent="0.2">
      <c r="A67" s="2"/>
      <c r="B67" s="3"/>
      <c r="C67" s="3"/>
      <c r="D67" s="4"/>
      <c r="E67" s="4"/>
      <c r="F67" s="3"/>
    </row>
    <row r="68" spans="1:6" x14ac:dyDescent="0.2">
      <c r="A68" s="2"/>
      <c r="B68" s="3"/>
      <c r="C68" s="3"/>
      <c r="D68" s="4"/>
      <c r="E68" s="4"/>
      <c r="F68" s="3"/>
    </row>
    <row r="69" spans="1:6" x14ac:dyDescent="0.2">
      <c r="A69" s="2"/>
      <c r="B69" s="3"/>
      <c r="C69" s="3"/>
      <c r="D69" s="4"/>
      <c r="E69" s="4"/>
      <c r="F69" s="3"/>
    </row>
    <row r="70" spans="1:6" x14ac:dyDescent="0.2">
      <c r="A70" s="2"/>
      <c r="B70" s="3"/>
      <c r="C70" s="3"/>
      <c r="D70" s="4"/>
      <c r="E70" s="4"/>
      <c r="F70" s="3"/>
    </row>
    <row r="71" spans="1:6" x14ac:dyDescent="0.2">
      <c r="A71" s="2"/>
      <c r="B71" s="3"/>
      <c r="C71" s="3"/>
      <c r="D71" s="4"/>
      <c r="E71" s="4"/>
      <c r="F71" s="3"/>
    </row>
    <row r="72" spans="1:6" x14ac:dyDescent="0.2">
      <c r="A72" s="2"/>
      <c r="B72" s="3"/>
      <c r="C72" s="3"/>
      <c r="D72" s="4"/>
      <c r="E72" s="4"/>
      <c r="F72" s="3"/>
    </row>
    <row r="73" spans="1:6" x14ac:dyDescent="0.2">
      <c r="A73" s="2"/>
      <c r="B73" s="3"/>
      <c r="C73" s="3"/>
      <c r="D73" s="4"/>
      <c r="E73" s="4"/>
      <c r="F73" s="3"/>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c r="B83" s="2"/>
      <c r="C83" s="2"/>
      <c r="D83" s="2"/>
      <c r="E83" s="2"/>
      <c r="F83" s="2"/>
    </row>
    <row r="84" spans="1:6" x14ac:dyDescent="0.2">
      <c r="A84" s="2"/>
    </row>
    <row r="85" spans="1:6" x14ac:dyDescent="0.2">
      <c r="A85" s="2"/>
    </row>
    <row r="86" spans="1:6" x14ac:dyDescent="0.2">
      <c r="A86" s="2"/>
    </row>
    <row r="87" spans="1:6" x14ac:dyDescent="0.2">
      <c r="A87" s="2"/>
    </row>
    <row r="88" spans="1:6" x14ac:dyDescent="0.2">
      <c r="A88"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06627-56E6-411A-B02A-D3A7350AC74E}">
  <dimension ref="A1:L88"/>
  <sheetViews>
    <sheetView workbookViewId="0">
      <selection sqref="A1:XFD1048576"/>
    </sheetView>
  </sheetViews>
  <sheetFormatPr defaultColWidth="9.77734375" defaultRowHeight="14.25" x14ac:dyDescent="0.2"/>
  <cols>
    <col min="1" max="1" width="34.5546875" style="1" customWidth="1"/>
    <col min="2" max="2" width="13.77734375" style="1" customWidth="1"/>
    <col min="3" max="3" width="13.109375" style="1" customWidth="1"/>
    <col min="4" max="4" width="12.77734375" style="1" customWidth="1"/>
    <col min="5" max="5" width="14.5546875" style="1" customWidth="1"/>
    <col min="6" max="6" width="14.6640625" style="1" customWidth="1"/>
    <col min="7" max="8" width="11.33203125" style="1" bestFit="1" customWidth="1"/>
    <col min="9" max="9" width="13.109375" style="38" bestFit="1" customWidth="1"/>
    <col min="10" max="10" width="9.77734375" style="1"/>
    <col min="11" max="11" width="11" style="1" customWidth="1"/>
    <col min="12" max="16384" width="9.77734375" style="1"/>
  </cols>
  <sheetData>
    <row r="1" spans="1:12" ht="18.75" thickBot="1" x14ac:dyDescent="0.3">
      <c r="A1" s="134" t="s">
        <v>154</v>
      </c>
    </row>
    <row r="2" spans="1:12" ht="15.75" thickBot="1" x14ac:dyDescent="0.3">
      <c r="A2" s="21" t="s">
        <v>155</v>
      </c>
      <c r="B2" s="22"/>
      <c r="C2" s="22"/>
      <c r="D2" s="22"/>
      <c r="E2" s="22"/>
      <c r="F2" s="22"/>
    </row>
    <row r="3" spans="1:12" s="7" customFormat="1" ht="47.25" customHeight="1" thickBot="1" x14ac:dyDescent="0.3">
      <c r="A3" s="140"/>
      <c r="B3" s="141" t="s">
        <v>59</v>
      </c>
      <c r="C3" s="141" t="s">
        <v>57</v>
      </c>
      <c r="D3" s="142" t="s">
        <v>3</v>
      </c>
      <c r="E3" s="143" t="s">
        <v>1</v>
      </c>
      <c r="F3" s="144" t="s">
        <v>2</v>
      </c>
      <c r="I3" s="39"/>
    </row>
    <row r="4" spans="1:12" x14ac:dyDescent="0.2">
      <c r="A4" s="150" t="s">
        <v>4</v>
      </c>
      <c r="B4" s="151">
        <v>52400</v>
      </c>
      <c r="C4" s="152">
        <v>52115</v>
      </c>
      <c r="D4" s="153">
        <v>42.214333685119449</v>
      </c>
      <c r="E4" s="154">
        <v>2200</v>
      </c>
      <c r="F4" s="155">
        <v>59.873720879599389</v>
      </c>
      <c r="G4" s="36"/>
      <c r="H4" s="36"/>
      <c r="I4" s="40"/>
      <c r="K4" s="35"/>
    </row>
    <row r="5" spans="1:12" x14ac:dyDescent="0.2">
      <c r="A5" s="15" t="s">
        <v>5</v>
      </c>
      <c r="B5" s="77">
        <v>242800</v>
      </c>
      <c r="C5" s="145">
        <v>241481</v>
      </c>
      <c r="D5" s="146">
        <v>54.745507928159981</v>
      </c>
      <c r="E5" s="147">
        <v>13220</v>
      </c>
      <c r="F5" s="156">
        <v>359.78663183104726</v>
      </c>
      <c r="G5" s="36"/>
      <c r="H5" s="36"/>
      <c r="I5" s="40"/>
      <c r="K5" s="35"/>
    </row>
    <row r="6" spans="1:12" x14ac:dyDescent="0.2">
      <c r="A6" s="15" t="s">
        <v>6</v>
      </c>
      <c r="B6" s="77">
        <v>147700</v>
      </c>
      <c r="C6" s="145">
        <v>146898</v>
      </c>
      <c r="D6" s="146">
        <v>53.778812509360236</v>
      </c>
      <c r="E6" s="147">
        <v>7900</v>
      </c>
      <c r="F6" s="156">
        <v>215.0010886131069</v>
      </c>
      <c r="G6" s="36"/>
      <c r="H6" s="36"/>
      <c r="I6" s="40"/>
      <c r="K6" s="35"/>
    </row>
    <row r="7" spans="1:12" x14ac:dyDescent="0.2">
      <c r="A7" s="15" t="s">
        <v>7</v>
      </c>
      <c r="B7" s="77">
        <v>168000</v>
      </c>
      <c r="C7" s="145">
        <v>167088</v>
      </c>
      <c r="D7" s="146">
        <v>53.085799099875516</v>
      </c>
      <c r="E7" s="147">
        <v>8870</v>
      </c>
      <c r="F7" s="156">
        <v>241.39995645547572</v>
      </c>
      <c r="G7" s="36"/>
      <c r="H7" s="36"/>
      <c r="I7" s="40"/>
      <c r="K7" s="35"/>
    </row>
    <row r="8" spans="1:12" x14ac:dyDescent="0.2">
      <c r="A8" s="15" t="s">
        <v>8</v>
      </c>
      <c r="B8" s="77">
        <v>196600</v>
      </c>
      <c r="C8" s="145">
        <v>195532</v>
      </c>
      <c r="D8" s="146">
        <v>40.914019188674999</v>
      </c>
      <c r="E8" s="147">
        <v>8000</v>
      </c>
      <c r="F8" s="156">
        <v>217.72262138036143</v>
      </c>
      <c r="G8" s="36"/>
      <c r="H8" s="36"/>
      <c r="I8" s="40"/>
      <c r="K8" s="35"/>
    </row>
    <row r="9" spans="1:12" x14ac:dyDescent="0.2">
      <c r="A9" s="15" t="s">
        <v>9</v>
      </c>
      <c r="B9" s="77">
        <v>33000</v>
      </c>
      <c r="C9" s="145">
        <v>32821</v>
      </c>
      <c r="D9" s="146">
        <v>39.608787057067119</v>
      </c>
      <c r="E9" s="147">
        <v>1300</v>
      </c>
      <c r="F9" s="156">
        <v>35.379925974308733</v>
      </c>
      <c r="G9" s="36"/>
      <c r="H9" s="36"/>
      <c r="I9" s="40"/>
      <c r="K9" s="35"/>
    </row>
    <row r="10" spans="1:12" x14ac:dyDescent="0.2">
      <c r="A10" s="15" t="s">
        <v>10</v>
      </c>
      <c r="B10" s="77">
        <v>221600</v>
      </c>
      <c r="C10" s="145">
        <v>220396</v>
      </c>
      <c r="D10" s="146">
        <v>53.993720394199528</v>
      </c>
      <c r="E10" s="147">
        <v>11900</v>
      </c>
      <c r="F10" s="156">
        <v>323.86239930328759</v>
      </c>
      <c r="G10" s="36"/>
      <c r="H10" s="36"/>
      <c r="I10" s="40"/>
      <c r="K10" s="35"/>
    </row>
    <row r="11" spans="1:12" x14ac:dyDescent="0.2">
      <c r="A11" s="15" t="s">
        <v>11</v>
      </c>
      <c r="B11" s="77">
        <v>198000</v>
      </c>
      <c r="C11" s="145">
        <v>196925</v>
      </c>
      <c r="D11" s="146">
        <v>54.690872159451565</v>
      </c>
      <c r="E11" s="147">
        <v>10770</v>
      </c>
      <c r="F11" s="156">
        <v>293.10907903331156</v>
      </c>
      <c r="G11" s="36"/>
      <c r="H11" s="36"/>
      <c r="I11" s="40"/>
      <c r="K11" s="35"/>
    </row>
    <row r="12" spans="1:12" x14ac:dyDescent="0.2">
      <c r="A12" s="15" t="s">
        <v>12</v>
      </c>
      <c r="B12" s="77">
        <v>69500</v>
      </c>
      <c r="C12" s="145">
        <v>69122</v>
      </c>
      <c r="D12" s="146">
        <v>36.746621914875149</v>
      </c>
      <c r="E12" s="147">
        <v>2540</v>
      </c>
      <c r="F12" s="156">
        <v>69.126932288264754</v>
      </c>
      <c r="G12" s="36"/>
      <c r="H12" s="36"/>
      <c r="I12" s="40"/>
      <c r="K12" s="35"/>
    </row>
    <row r="13" spans="1:12" x14ac:dyDescent="0.2">
      <c r="A13" s="15" t="s">
        <v>13</v>
      </c>
      <c r="B13" s="77">
        <v>106400</v>
      </c>
      <c r="C13" s="145">
        <v>105822</v>
      </c>
      <c r="D13" s="146">
        <v>51.974069664153014</v>
      </c>
      <c r="E13" s="147">
        <v>5500</v>
      </c>
      <c r="F13" s="156">
        <v>149.68430219899847</v>
      </c>
      <c r="G13" s="36"/>
      <c r="H13" s="36"/>
      <c r="I13" s="40"/>
      <c r="K13" s="35"/>
    </row>
    <row r="14" spans="1:12" s="5" customFormat="1" ht="15" x14ac:dyDescent="0.25">
      <c r="A14" s="16" t="s">
        <v>14</v>
      </c>
      <c r="B14" s="81">
        <v>1436000</v>
      </c>
      <c r="C14" s="81">
        <v>1428200</v>
      </c>
      <c r="D14" s="148">
        <v>50.553143817392524</v>
      </c>
      <c r="E14" s="81">
        <v>72200</v>
      </c>
      <c r="F14" s="157">
        <v>1964.9466579577618</v>
      </c>
      <c r="G14" s="37"/>
      <c r="H14" s="37"/>
      <c r="I14" s="41"/>
      <c r="K14" s="35"/>
      <c r="L14" s="1"/>
    </row>
    <row r="15" spans="1:12" x14ac:dyDescent="0.2">
      <c r="A15" s="15" t="s">
        <v>15</v>
      </c>
      <c r="B15" s="77">
        <v>97700</v>
      </c>
      <c r="C15" s="145">
        <v>97293</v>
      </c>
      <c r="D15" s="146">
        <v>55.502451358268324</v>
      </c>
      <c r="E15" s="147">
        <v>5400</v>
      </c>
      <c r="F15" s="156">
        <v>146.96276943174396</v>
      </c>
      <c r="G15" s="36"/>
      <c r="H15" s="36"/>
      <c r="I15" s="40"/>
      <c r="K15" s="35"/>
    </row>
    <row r="16" spans="1:12" x14ac:dyDescent="0.2">
      <c r="A16" s="15" t="s">
        <v>16</v>
      </c>
      <c r="B16" s="77">
        <v>30900</v>
      </c>
      <c r="C16" s="145">
        <v>30771</v>
      </c>
      <c r="D16" s="146">
        <v>51.997010171915115</v>
      </c>
      <c r="E16" s="147">
        <v>1600</v>
      </c>
      <c r="F16" s="156">
        <v>43.544524276072288</v>
      </c>
      <c r="G16" s="36"/>
      <c r="H16" s="36"/>
      <c r="I16" s="40"/>
      <c r="K16" s="35"/>
    </row>
    <row r="17" spans="1:12" x14ac:dyDescent="0.2">
      <c r="A17" s="15" t="s">
        <v>17</v>
      </c>
      <c r="B17" s="77">
        <v>48200</v>
      </c>
      <c r="C17" s="145">
        <v>47999</v>
      </c>
      <c r="D17" s="146">
        <v>51.042730056876188</v>
      </c>
      <c r="E17" s="147">
        <v>2450</v>
      </c>
      <c r="F17" s="156">
        <v>66.677552797735686</v>
      </c>
      <c r="G17" s="36"/>
      <c r="H17" s="36"/>
      <c r="I17" s="40"/>
      <c r="K17" s="35"/>
    </row>
    <row r="18" spans="1:12" x14ac:dyDescent="0.2">
      <c r="A18" s="15" t="s">
        <v>18</v>
      </c>
      <c r="B18" s="77">
        <v>17700</v>
      </c>
      <c r="C18" s="145">
        <v>17626</v>
      </c>
      <c r="D18" s="146">
        <v>44.820152048110749</v>
      </c>
      <c r="E18" s="147">
        <v>790</v>
      </c>
      <c r="F18" s="156">
        <v>21.500108861310689</v>
      </c>
      <c r="G18" s="36"/>
      <c r="H18" s="36"/>
      <c r="I18" s="40"/>
      <c r="K18" s="35"/>
    </row>
    <row r="19" spans="1:12" x14ac:dyDescent="0.2">
      <c r="A19" s="15" t="s">
        <v>19</v>
      </c>
      <c r="B19" s="77">
        <v>192000</v>
      </c>
      <c r="C19" s="145">
        <v>191199</v>
      </c>
      <c r="D19" s="146">
        <v>57.008666363317801</v>
      </c>
      <c r="E19" s="147">
        <v>10900</v>
      </c>
      <c r="F19" s="156">
        <v>296.64707163074246</v>
      </c>
      <c r="G19" s="36"/>
      <c r="H19" s="36"/>
      <c r="I19" s="40"/>
      <c r="K19" s="35"/>
    </row>
    <row r="20" spans="1:12" x14ac:dyDescent="0.2">
      <c r="A20" s="15" t="s">
        <v>20</v>
      </c>
      <c r="B20" s="77">
        <v>25100</v>
      </c>
      <c r="C20" s="145">
        <v>24995</v>
      </c>
      <c r="D20" s="146">
        <v>48.009601920384071</v>
      </c>
      <c r="E20" s="147">
        <v>1200</v>
      </c>
      <c r="F20" s="156">
        <v>32.65839320705421</v>
      </c>
      <c r="G20" s="36"/>
      <c r="H20" s="36"/>
      <c r="I20" s="40"/>
      <c r="K20" s="35"/>
    </row>
    <row r="21" spans="1:12" x14ac:dyDescent="0.2">
      <c r="A21" s="15" t="s">
        <v>21</v>
      </c>
      <c r="B21" s="77">
        <v>111300</v>
      </c>
      <c r="C21" s="145">
        <v>110836</v>
      </c>
      <c r="D21" s="146">
        <v>57.111407845826264</v>
      </c>
      <c r="E21" s="147">
        <v>6330</v>
      </c>
      <c r="F21" s="156">
        <v>172.27302416721096</v>
      </c>
      <c r="G21" s="36"/>
      <c r="H21" s="36"/>
      <c r="I21" s="40"/>
      <c r="K21" s="35"/>
    </row>
    <row r="22" spans="1:12" x14ac:dyDescent="0.2">
      <c r="A22" s="15" t="s">
        <v>22</v>
      </c>
      <c r="B22" s="77">
        <v>115100</v>
      </c>
      <c r="C22" s="145">
        <v>114620</v>
      </c>
      <c r="D22" s="146">
        <v>52.34688536032106</v>
      </c>
      <c r="E22" s="147">
        <v>6000</v>
      </c>
      <c r="F22" s="156">
        <v>163.29196603527106</v>
      </c>
      <c r="G22" s="36"/>
      <c r="H22" s="36"/>
      <c r="I22" s="40"/>
      <c r="K22" s="35"/>
    </row>
    <row r="23" spans="1:12" x14ac:dyDescent="0.2">
      <c r="A23" s="15" t="s">
        <v>23</v>
      </c>
      <c r="B23" s="77">
        <v>36100</v>
      </c>
      <c r="C23" s="145">
        <v>35949</v>
      </c>
      <c r="D23" s="146">
        <v>50.070933822915798</v>
      </c>
      <c r="E23" s="147">
        <v>1800</v>
      </c>
      <c r="F23" s="156">
        <v>48.987589810581319</v>
      </c>
      <c r="G23" s="36"/>
      <c r="H23" s="36"/>
      <c r="I23" s="40"/>
      <c r="K23" s="35"/>
    </row>
    <row r="24" spans="1:12" x14ac:dyDescent="0.2">
      <c r="A24" s="15" t="s">
        <v>24</v>
      </c>
      <c r="B24" s="77">
        <v>93300</v>
      </c>
      <c r="C24" s="145">
        <v>92912</v>
      </c>
      <c r="D24" s="146">
        <v>53.814361976924403</v>
      </c>
      <c r="E24" s="147">
        <v>5000</v>
      </c>
      <c r="F24" s="156">
        <v>136.0766383627259</v>
      </c>
      <c r="G24" s="36"/>
      <c r="H24" s="36"/>
      <c r="I24" s="40"/>
      <c r="K24" s="35"/>
    </row>
    <row r="25" spans="1:12" s="5" customFormat="1" ht="15" x14ac:dyDescent="0.25">
      <c r="A25" s="16" t="s">
        <v>25</v>
      </c>
      <c r="B25" s="81">
        <v>767400</v>
      </c>
      <c r="C25" s="81">
        <v>764200</v>
      </c>
      <c r="D25" s="148">
        <v>54.265898979324781</v>
      </c>
      <c r="E25" s="81">
        <v>41470</v>
      </c>
      <c r="F25" s="157">
        <v>1128.6196385804485</v>
      </c>
      <c r="G25" s="37"/>
      <c r="H25" s="37"/>
      <c r="I25" s="41"/>
      <c r="K25" s="35"/>
      <c r="L25" s="1"/>
    </row>
    <row r="26" spans="1:12" x14ac:dyDescent="0.2">
      <c r="A26" s="15" t="s">
        <v>26</v>
      </c>
      <c r="B26" s="77">
        <v>49100</v>
      </c>
      <c r="C26" s="145">
        <v>48800</v>
      </c>
      <c r="D26" s="146">
        <v>45.696721311475407</v>
      </c>
      <c r="E26" s="147">
        <v>2230</v>
      </c>
      <c r="F26" s="156">
        <v>60.690180709775746</v>
      </c>
      <c r="G26" s="36"/>
      <c r="H26" s="36"/>
      <c r="I26" s="40"/>
      <c r="K26" s="35"/>
    </row>
    <row r="27" spans="1:12" x14ac:dyDescent="0.2">
      <c r="A27" s="15" t="s">
        <v>27</v>
      </c>
      <c r="B27" s="162" t="s">
        <v>63</v>
      </c>
      <c r="C27" s="162" t="s">
        <v>63</v>
      </c>
      <c r="D27" s="162" t="s">
        <v>63</v>
      </c>
      <c r="E27" s="162" t="s">
        <v>63</v>
      </c>
      <c r="F27" s="156"/>
      <c r="G27" s="36"/>
      <c r="H27" s="36"/>
      <c r="I27" s="40"/>
      <c r="K27" s="35"/>
    </row>
    <row r="28" spans="1:12" x14ac:dyDescent="0.2">
      <c r="A28" s="15" t="s">
        <v>28</v>
      </c>
      <c r="B28" s="77">
        <v>24400</v>
      </c>
      <c r="C28" s="145">
        <v>24200</v>
      </c>
      <c r="D28" s="146">
        <v>43.801652892561989</v>
      </c>
      <c r="E28" s="147">
        <v>1060</v>
      </c>
      <c r="F28" s="156">
        <v>28.848247332897888</v>
      </c>
      <c r="G28" s="36"/>
      <c r="H28" s="36"/>
      <c r="I28" s="40"/>
      <c r="K28" s="35"/>
    </row>
    <row r="29" spans="1:12" x14ac:dyDescent="0.2">
      <c r="A29" s="15" t="s">
        <v>29</v>
      </c>
      <c r="B29" s="77">
        <v>23700</v>
      </c>
      <c r="C29" s="145">
        <v>23500</v>
      </c>
      <c r="D29" s="146">
        <v>42.978723404255319</v>
      </c>
      <c r="E29" s="147">
        <v>1010</v>
      </c>
      <c r="F29" s="156">
        <v>27.48748094927063</v>
      </c>
      <c r="G29" s="36"/>
      <c r="H29" s="36"/>
      <c r="I29" s="40"/>
      <c r="K29" s="35"/>
    </row>
    <row r="30" spans="1:12" x14ac:dyDescent="0.2">
      <c r="A30" s="15" t="s">
        <v>30</v>
      </c>
      <c r="B30" s="149">
        <v>0</v>
      </c>
      <c r="C30" s="149">
        <v>0</v>
      </c>
      <c r="D30" s="149">
        <v>0</v>
      </c>
      <c r="E30" s="149">
        <v>0</v>
      </c>
      <c r="F30" s="156">
        <v>0</v>
      </c>
      <c r="G30" s="36"/>
      <c r="H30" s="36"/>
      <c r="I30" s="40"/>
      <c r="K30" s="35"/>
    </row>
    <row r="31" spans="1:12" x14ac:dyDescent="0.2">
      <c r="A31" s="15" t="s">
        <v>31</v>
      </c>
      <c r="B31" s="77">
        <v>49100</v>
      </c>
      <c r="C31" s="145">
        <v>48800</v>
      </c>
      <c r="D31" s="146">
        <v>42.418032786885249</v>
      </c>
      <c r="E31" s="147">
        <v>2070</v>
      </c>
      <c r="F31" s="156">
        <v>56.335728282168517</v>
      </c>
      <c r="G31" s="36"/>
      <c r="H31" s="36"/>
      <c r="I31" s="40"/>
      <c r="K31" s="35"/>
    </row>
    <row r="32" spans="1:12" x14ac:dyDescent="0.2">
      <c r="A32" s="15" t="s">
        <v>32</v>
      </c>
      <c r="B32" s="162" t="s">
        <v>63</v>
      </c>
      <c r="C32" s="162" t="s">
        <v>63</v>
      </c>
      <c r="D32" s="162" t="s">
        <v>63</v>
      </c>
      <c r="E32" s="162" t="s">
        <v>63</v>
      </c>
      <c r="F32" s="156"/>
      <c r="G32" s="36"/>
      <c r="H32" s="36"/>
      <c r="I32" s="40"/>
      <c r="K32" s="35"/>
    </row>
    <row r="33" spans="1:12" x14ac:dyDescent="0.2">
      <c r="A33" s="15" t="s">
        <v>33</v>
      </c>
      <c r="B33" s="77">
        <v>18800</v>
      </c>
      <c r="C33" s="145">
        <v>18700</v>
      </c>
      <c r="D33" s="146">
        <v>40.106951871657756</v>
      </c>
      <c r="E33" s="147">
        <v>750</v>
      </c>
      <c r="F33" s="156">
        <v>20.411495754408882</v>
      </c>
      <c r="G33" s="36"/>
      <c r="H33" s="36"/>
      <c r="I33" s="40"/>
      <c r="K33" s="35"/>
    </row>
    <row r="34" spans="1:12" x14ac:dyDescent="0.2">
      <c r="A34" s="15" t="s">
        <v>34</v>
      </c>
      <c r="B34" s="77">
        <v>16600</v>
      </c>
      <c r="C34" s="145">
        <v>16500</v>
      </c>
      <c r="D34" s="146">
        <v>33.939393939393945</v>
      </c>
      <c r="E34" s="147">
        <v>560</v>
      </c>
      <c r="F34" s="156">
        <v>15.2405834966253</v>
      </c>
      <c r="G34" s="36"/>
      <c r="H34" s="36"/>
      <c r="I34" s="40"/>
      <c r="K34" s="35"/>
    </row>
    <row r="35" spans="1:12" x14ac:dyDescent="0.2">
      <c r="A35" s="15" t="s">
        <v>35</v>
      </c>
      <c r="B35" s="77">
        <v>20000</v>
      </c>
      <c r="C35" s="145">
        <v>19900</v>
      </c>
      <c r="D35" s="146">
        <v>45.226130653266331</v>
      </c>
      <c r="E35" s="147">
        <v>900</v>
      </c>
      <c r="F35" s="156">
        <v>24.49379490529066</v>
      </c>
      <c r="G35" s="36"/>
      <c r="H35" s="36"/>
      <c r="I35" s="40"/>
      <c r="K35" s="35"/>
    </row>
    <row r="36" spans="1:12" s="5" customFormat="1" ht="15" x14ac:dyDescent="0.25">
      <c r="A36" s="16" t="s">
        <v>36</v>
      </c>
      <c r="B36" s="81">
        <v>201700</v>
      </c>
      <c r="C36" s="81">
        <v>200400</v>
      </c>
      <c r="D36" s="148">
        <v>42.814371257485028</v>
      </c>
      <c r="E36" s="81">
        <v>8580</v>
      </c>
      <c r="F36" s="157">
        <v>233.50751143043763</v>
      </c>
      <c r="G36" s="37"/>
      <c r="H36" s="37"/>
      <c r="I36" s="41"/>
      <c r="K36" s="35"/>
      <c r="L36" s="1"/>
    </row>
    <row r="37" spans="1:12" x14ac:dyDescent="0.2">
      <c r="A37" s="15" t="s">
        <v>37</v>
      </c>
      <c r="B37" s="77">
        <v>12400</v>
      </c>
      <c r="C37" s="145">
        <v>12280</v>
      </c>
      <c r="D37" s="146">
        <v>45.846905537459286</v>
      </c>
      <c r="E37" s="147">
        <v>563</v>
      </c>
      <c r="F37" s="156">
        <v>15.322229479642935</v>
      </c>
      <c r="G37" s="36"/>
      <c r="H37" s="36"/>
      <c r="I37" s="40"/>
      <c r="K37" s="35"/>
    </row>
    <row r="38" spans="1:12" x14ac:dyDescent="0.2">
      <c r="A38" s="15" t="s">
        <v>38</v>
      </c>
      <c r="B38" s="77">
        <v>11000</v>
      </c>
      <c r="C38" s="145">
        <v>10890</v>
      </c>
      <c r="D38" s="146">
        <v>52.157943067033976</v>
      </c>
      <c r="E38" s="147">
        <v>568</v>
      </c>
      <c r="F38" s="156">
        <v>15.458306118005661</v>
      </c>
      <c r="G38" s="36"/>
      <c r="H38" s="36"/>
      <c r="I38" s="40"/>
      <c r="K38" s="35"/>
    </row>
    <row r="39" spans="1:12" x14ac:dyDescent="0.2">
      <c r="A39" s="15" t="s">
        <v>39</v>
      </c>
      <c r="B39" s="77">
        <v>35500</v>
      </c>
      <c r="C39" s="145">
        <v>35140</v>
      </c>
      <c r="D39" s="146">
        <v>45.959021058622653</v>
      </c>
      <c r="E39" s="147">
        <v>1615</v>
      </c>
      <c r="F39" s="156">
        <v>43.952754191160459</v>
      </c>
      <c r="G39" s="36"/>
      <c r="H39" s="36"/>
      <c r="I39" s="40"/>
      <c r="K39" s="35"/>
    </row>
    <row r="40" spans="1:12" x14ac:dyDescent="0.2">
      <c r="A40" s="15" t="s">
        <v>40</v>
      </c>
      <c r="B40" s="77">
        <v>19800</v>
      </c>
      <c r="C40" s="145">
        <v>19600</v>
      </c>
      <c r="D40" s="146">
        <v>44.489795918367349</v>
      </c>
      <c r="E40" s="147">
        <v>872</v>
      </c>
      <c r="F40" s="156">
        <v>23.731765730459394</v>
      </c>
      <c r="G40" s="36"/>
      <c r="H40" s="36"/>
      <c r="I40" s="40"/>
      <c r="K40" s="35"/>
    </row>
    <row r="41" spans="1:12" x14ac:dyDescent="0.2">
      <c r="A41" s="15" t="s">
        <v>41</v>
      </c>
      <c r="B41" s="77">
        <v>82700</v>
      </c>
      <c r="C41" s="145">
        <v>81860</v>
      </c>
      <c r="D41" s="146">
        <v>47.752259956022478</v>
      </c>
      <c r="E41" s="147">
        <v>3909</v>
      </c>
      <c r="F41" s="156">
        <v>106.3847158719791</v>
      </c>
      <c r="G41" s="36"/>
      <c r="H41" s="36"/>
      <c r="I41" s="40"/>
      <c r="K41" s="35"/>
    </row>
    <row r="42" spans="1:12" x14ac:dyDescent="0.2">
      <c r="A42" s="15" t="s">
        <v>42</v>
      </c>
      <c r="B42" s="77">
        <v>86500</v>
      </c>
      <c r="C42" s="145">
        <v>85620</v>
      </c>
      <c r="D42" s="146">
        <v>47.325391263723425</v>
      </c>
      <c r="E42" s="147">
        <v>4052</v>
      </c>
      <c r="F42" s="156">
        <v>110.27650772915305</v>
      </c>
      <c r="G42" s="36"/>
      <c r="H42" s="36"/>
      <c r="I42" s="40"/>
      <c r="K42" s="35"/>
    </row>
    <row r="43" spans="1:12" x14ac:dyDescent="0.2">
      <c r="A43" s="15" t="s">
        <v>43</v>
      </c>
      <c r="B43" s="77">
        <v>25900</v>
      </c>
      <c r="C43" s="145">
        <v>25640</v>
      </c>
      <c r="D43" s="146">
        <v>46.684867394695786</v>
      </c>
      <c r="E43" s="147">
        <v>1197</v>
      </c>
      <c r="F43" s="156">
        <v>32.576747224036581</v>
      </c>
      <c r="G43" s="36"/>
      <c r="H43" s="36"/>
      <c r="I43" s="40"/>
      <c r="K43" s="35"/>
    </row>
    <row r="44" spans="1:12" x14ac:dyDescent="0.2">
      <c r="A44" s="15" t="s">
        <v>44</v>
      </c>
      <c r="B44" s="77">
        <v>141300</v>
      </c>
      <c r="C44" s="145">
        <v>139870</v>
      </c>
      <c r="D44" s="146">
        <v>51.93393865732466</v>
      </c>
      <c r="E44" s="147">
        <v>7264</v>
      </c>
      <c r="F44" s="156">
        <v>197.69214021336816</v>
      </c>
      <c r="G44" s="36"/>
      <c r="H44" s="36"/>
      <c r="I44" s="40"/>
      <c r="K44" s="35"/>
    </row>
    <row r="45" spans="1:12" s="5" customFormat="1" ht="15" x14ac:dyDescent="0.25">
      <c r="A45" s="16" t="s">
        <v>45</v>
      </c>
      <c r="B45" s="81">
        <v>415100</v>
      </c>
      <c r="C45" s="81">
        <v>410900</v>
      </c>
      <c r="D45" s="148">
        <v>48.770990508639578</v>
      </c>
      <c r="E45" s="81">
        <v>20040</v>
      </c>
      <c r="F45" s="157">
        <v>545.3951665578054</v>
      </c>
      <c r="G45" s="37"/>
      <c r="H45" s="37"/>
      <c r="I45" s="41"/>
      <c r="K45" s="35"/>
      <c r="L45" s="1"/>
    </row>
    <row r="46" spans="1:12" x14ac:dyDescent="0.2">
      <c r="A46" s="15" t="s">
        <v>46</v>
      </c>
      <c r="B46" s="162" t="s">
        <v>63</v>
      </c>
      <c r="C46" s="162" t="s">
        <v>63</v>
      </c>
      <c r="D46" s="162" t="s">
        <v>63</v>
      </c>
      <c r="E46" s="162" t="s">
        <v>63</v>
      </c>
      <c r="F46" s="156"/>
      <c r="G46" s="36"/>
      <c r="H46" s="36"/>
      <c r="I46" s="40"/>
      <c r="K46" s="35"/>
    </row>
    <row r="47" spans="1:12" x14ac:dyDescent="0.2">
      <c r="A47" s="15" t="s">
        <v>47</v>
      </c>
      <c r="B47" s="162" t="s">
        <v>63</v>
      </c>
      <c r="C47" s="162" t="s">
        <v>63</v>
      </c>
      <c r="D47" s="162" t="s">
        <v>63</v>
      </c>
      <c r="E47" s="162" t="s">
        <v>63</v>
      </c>
      <c r="F47" s="156"/>
      <c r="G47" s="36"/>
      <c r="H47" s="36"/>
      <c r="I47" s="40"/>
      <c r="K47" s="35"/>
    </row>
    <row r="48" spans="1:12" x14ac:dyDescent="0.2">
      <c r="A48" s="17" t="s">
        <v>48</v>
      </c>
      <c r="B48" s="162" t="s">
        <v>63</v>
      </c>
      <c r="C48" s="162" t="s">
        <v>63</v>
      </c>
      <c r="D48" s="162" t="s">
        <v>63</v>
      </c>
      <c r="E48" s="162" t="s">
        <v>63</v>
      </c>
      <c r="F48" s="156"/>
      <c r="G48" s="36"/>
      <c r="H48" s="36"/>
      <c r="I48" s="40"/>
      <c r="K48" s="35"/>
    </row>
    <row r="49" spans="1:12" x14ac:dyDescent="0.2">
      <c r="A49" s="15" t="s">
        <v>49</v>
      </c>
      <c r="B49" s="162" t="s">
        <v>63</v>
      </c>
      <c r="C49" s="162" t="s">
        <v>63</v>
      </c>
      <c r="D49" s="162" t="s">
        <v>63</v>
      </c>
      <c r="E49" s="162" t="s">
        <v>63</v>
      </c>
      <c r="F49" s="156"/>
      <c r="G49" s="36"/>
      <c r="H49" s="36"/>
      <c r="I49" s="40"/>
      <c r="K49" s="35"/>
    </row>
    <row r="50" spans="1:12" x14ac:dyDescent="0.2">
      <c r="A50" s="15" t="s">
        <v>50</v>
      </c>
      <c r="B50" s="162" t="s">
        <v>63</v>
      </c>
      <c r="C50" s="162" t="s">
        <v>63</v>
      </c>
      <c r="D50" s="162" t="s">
        <v>63</v>
      </c>
      <c r="E50" s="162" t="s">
        <v>63</v>
      </c>
      <c r="F50" s="156"/>
      <c r="G50" s="36"/>
      <c r="H50" s="36"/>
      <c r="I50" s="40"/>
      <c r="K50" s="35"/>
    </row>
    <row r="51" spans="1:12" x14ac:dyDescent="0.2">
      <c r="A51" s="15" t="s">
        <v>51</v>
      </c>
      <c r="B51" s="147">
        <v>3000</v>
      </c>
      <c r="C51" s="145">
        <v>2980</v>
      </c>
      <c r="D51" s="146">
        <v>30.201342281879196</v>
      </c>
      <c r="E51" s="147">
        <v>90</v>
      </c>
      <c r="F51" s="156">
        <v>2.4493794905290658</v>
      </c>
      <c r="G51" s="36"/>
      <c r="H51" s="36"/>
      <c r="I51" s="40"/>
      <c r="K51" s="35"/>
    </row>
    <row r="52" spans="1:12" x14ac:dyDescent="0.2">
      <c r="A52" s="15" t="s">
        <v>52</v>
      </c>
      <c r="B52" s="147">
        <v>7000</v>
      </c>
      <c r="C52" s="145">
        <v>6960</v>
      </c>
      <c r="D52" s="146">
        <v>41.666666666666664</v>
      </c>
      <c r="E52" s="147">
        <v>290</v>
      </c>
      <c r="F52" s="156">
        <v>7.8924450250381017</v>
      </c>
      <c r="G52" s="36"/>
      <c r="H52" s="36"/>
      <c r="I52" s="40"/>
      <c r="K52" s="35"/>
    </row>
    <row r="53" spans="1:12" x14ac:dyDescent="0.2">
      <c r="A53" s="15" t="s">
        <v>53</v>
      </c>
      <c r="B53" s="162" t="s">
        <v>63</v>
      </c>
      <c r="C53" s="162" t="s">
        <v>63</v>
      </c>
      <c r="D53" s="162" t="s">
        <v>63</v>
      </c>
      <c r="E53" s="162" t="s">
        <v>63</v>
      </c>
      <c r="F53" s="156"/>
      <c r="G53" s="36"/>
      <c r="H53" s="36"/>
      <c r="I53" s="40"/>
      <c r="K53" s="35"/>
    </row>
    <row r="54" spans="1:12" x14ac:dyDescent="0.2">
      <c r="A54" s="15" t="s">
        <v>54</v>
      </c>
      <c r="B54" s="162" t="s">
        <v>63</v>
      </c>
      <c r="C54" s="162" t="s">
        <v>63</v>
      </c>
      <c r="D54" s="162" t="s">
        <v>63</v>
      </c>
      <c r="E54" s="162" t="s">
        <v>63</v>
      </c>
      <c r="F54" s="156"/>
      <c r="G54" s="36"/>
      <c r="H54" s="36"/>
      <c r="I54" s="40"/>
      <c r="K54" s="35"/>
    </row>
    <row r="55" spans="1:12" x14ac:dyDescent="0.2">
      <c r="A55" s="15" t="s">
        <v>55</v>
      </c>
      <c r="B55" s="77">
        <v>15000</v>
      </c>
      <c r="C55" s="145">
        <v>14900</v>
      </c>
      <c r="D55" s="146">
        <v>40.268456375838923</v>
      </c>
      <c r="E55" s="147">
        <v>600</v>
      </c>
      <c r="F55" s="156">
        <v>16.329196603527105</v>
      </c>
      <c r="G55" s="36"/>
      <c r="H55" s="36"/>
      <c r="I55" s="40"/>
      <c r="K55" s="35"/>
    </row>
    <row r="56" spans="1:12" s="5" customFormat="1" ht="15" x14ac:dyDescent="0.25">
      <c r="A56" s="16" t="s">
        <v>56</v>
      </c>
      <c r="B56" s="81">
        <v>30000</v>
      </c>
      <c r="C56" s="81">
        <v>29600</v>
      </c>
      <c r="D56" s="148">
        <v>44.932432432432428</v>
      </c>
      <c r="E56" s="81">
        <v>1330</v>
      </c>
      <c r="F56" s="157">
        <v>36.196385804485089</v>
      </c>
      <c r="G56" s="37"/>
      <c r="H56" s="37"/>
      <c r="I56" s="41"/>
      <c r="K56" s="35"/>
      <c r="L56" s="1"/>
    </row>
    <row r="57" spans="1:12" s="5" customFormat="1" ht="15.75" thickBot="1" x14ac:dyDescent="0.3">
      <c r="A57" s="18" t="s">
        <v>0</v>
      </c>
      <c r="B57" s="89">
        <v>2850200</v>
      </c>
      <c r="C57" s="158">
        <v>2833300</v>
      </c>
      <c r="D57" s="159">
        <v>50.690008117742558</v>
      </c>
      <c r="E57" s="160">
        <v>143620</v>
      </c>
      <c r="F57" s="161">
        <v>3908.6653603309383</v>
      </c>
      <c r="G57" s="37"/>
      <c r="H57" s="37"/>
      <c r="I57" s="41"/>
      <c r="K57" s="35"/>
      <c r="L57" s="1"/>
    </row>
    <row r="58" spans="1:12" s="5" customFormat="1" ht="15" x14ac:dyDescent="0.25">
      <c r="A58" s="1" t="s">
        <v>156</v>
      </c>
      <c r="B58" s="6"/>
      <c r="C58" s="6"/>
      <c r="D58" s="6"/>
      <c r="E58" s="6"/>
      <c r="F58" s="6"/>
      <c r="I58" s="42"/>
    </row>
    <row r="59" spans="1:12" s="9" customFormat="1" x14ac:dyDescent="0.2">
      <c r="A59" s="8"/>
      <c r="B59" s="163"/>
      <c r="C59" s="163"/>
      <c r="D59" s="20"/>
      <c r="E59" s="163"/>
      <c r="F59" s="163"/>
      <c r="I59" s="43"/>
    </row>
    <row r="60" spans="1:12" ht="210.75" customHeight="1" x14ac:dyDescent="0.2">
      <c r="A60" s="23" t="s">
        <v>58</v>
      </c>
      <c r="B60" s="23"/>
      <c r="C60" s="23"/>
      <c r="D60" s="23"/>
      <c r="E60" s="23"/>
      <c r="F60" s="23"/>
    </row>
    <row r="61" spans="1:12" ht="15" x14ac:dyDescent="0.25">
      <c r="A61" s="10" t="s">
        <v>60</v>
      </c>
      <c r="B61" s="3"/>
      <c r="C61" s="3"/>
      <c r="D61" s="4"/>
      <c r="E61" s="4"/>
      <c r="F61" s="3"/>
    </row>
    <row r="62" spans="1:12" x14ac:dyDescent="0.2">
      <c r="A62" s="45" t="s">
        <v>157</v>
      </c>
      <c r="B62" s="3"/>
      <c r="C62" s="3"/>
      <c r="D62" s="4"/>
      <c r="E62" s="4"/>
      <c r="F62" s="3"/>
    </row>
    <row r="63" spans="1:12" x14ac:dyDescent="0.2">
      <c r="A63" s="2"/>
      <c r="B63" s="3"/>
      <c r="C63" s="3"/>
      <c r="D63" s="4"/>
      <c r="E63" s="4"/>
      <c r="F63" s="3"/>
    </row>
    <row r="64" spans="1:12" x14ac:dyDescent="0.2">
      <c r="A64" s="2"/>
      <c r="B64" s="3"/>
      <c r="C64" s="3"/>
      <c r="D64" s="4"/>
      <c r="E64" s="4"/>
      <c r="F64" s="3"/>
    </row>
    <row r="65" spans="1:6" x14ac:dyDescent="0.2">
      <c r="A65" s="2"/>
      <c r="B65" s="3"/>
      <c r="C65" s="3"/>
      <c r="D65" s="4"/>
      <c r="E65" s="4"/>
      <c r="F65" s="3"/>
    </row>
    <row r="66" spans="1:6" x14ac:dyDescent="0.2">
      <c r="A66" s="2"/>
      <c r="B66" s="3"/>
      <c r="C66" s="3"/>
      <c r="D66" s="4"/>
      <c r="E66" s="4"/>
      <c r="F66" s="3"/>
    </row>
    <row r="67" spans="1:6" x14ac:dyDescent="0.2">
      <c r="A67" s="2"/>
      <c r="B67" s="3"/>
      <c r="C67" s="3"/>
      <c r="D67" s="4"/>
      <c r="E67" s="4"/>
      <c r="F67" s="3"/>
    </row>
    <row r="68" spans="1:6" x14ac:dyDescent="0.2">
      <c r="A68" s="2"/>
      <c r="B68" s="3"/>
      <c r="C68" s="3"/>
      <c r="D68" s="4"/>
      <c r="E68" s="4"/>
      <c r="F68" s="3"/>
    </row>
    <row r="69" spans="1:6" x14ac:dyDescent="0.2">
      <c r="A69" s="2"/>
      <c r="B69" s="3"/>
      <c r="C69" s="3"/>
      <c r="D69" s="4"/>
      <c r="E69" s="4"/>
      <c r="F69" s="3"/>
    </row>
    <row r="70" spans="1:6" x14ac:dyDescent="0.2">
      <c r="A70" s="2"/>
      <c r="B70" s="3"/>
      <c r="C70" s="3"/>
      <c r="D70" s="4"/>
      <c r="E70" s="4"/>
      <c r="F70" s="3"/>
    </row>
    <row r="71" spans="1:6" x14ac:dyDescent="0.2">
      <c r="A71" s="2"/>
      <c r="B71" s="3"/>
      <c r="C71" s="3"/>
      <c r="D71" s="4"/>
      <c r="E71" s="4"/>
      <c r="F71" s="3"/>
    </row>
    <row r="72" spans="1:6" x14ac:dyDescent="0.2">
      <c r="A72" s="2"/>
      <c r="B72" s="3"/>
      <c r="C72" s="3"/>
      <c r="D72" s="4"/>
      <c r="E72" s="4"/>
      <c r="F72" s="3"/>
    </row>
    <row r="73" spans="1:6" x14ac:dyDescent="0.2">
      <c r="A73" s="2"/>
      <c r="B73" s="3"/>
      <c r="C73" s="3"/>
      <c r="D73" s="4"/>
      <c r="E73" s="4"/>
      <c r="F73" s="3"/>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c r="B83" s="2"/>
      <c r="C83" s="2"/>
      <c r="D83" s="2"/>
      <c r="E83" s="2"/>
      <c r="F83" s="2"/>
    </row>
    <row r="84" spans="1:6" x14ac:dyDescent="0.2">
      <c r="A84" s="2"/>
    </row>
    <row r="85" spans="1:6" x14ac:dyDescent="0.2">
      <c r="A85" s="2"/>
    </row>
    <row r="86" spans="1:6" x14ac:dyDescent="0.2">
      <c r="A86" s="2"/>
    </row>
    <row r="87" spans="1:6" x14ac:dyDescent="0.2">
      <c r="A87" s="2"/>
    </row>
    <row r="88" spans="1:6" x14ac:dyDescent="0.2">
      <c r="A88" s="2"/>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85F3B-3466-4BFA-9503-B95EF8D951E0}">
  <dimension ref="A1:L88"/>
  <sheetViews>
    <sheetView workbookViewId="0">
      <selection sqref="A1:XFD1048576"/>
    </sheetView>
  </sheetViews>
  <sheetFormatPr defaultColWidth="9.77734375" defaultRowHeight="14.25" x14ac:dyDescent="0.2"/>
  <cols>
    <col min="1" max="1" width="34.5546875" style="1" customWidth="1"/>
    <col min="2" max="2" width="13.77734375" style="1" customWidth="1"/>
    <col min="3" max="3" width="13.109375" style="1" customWidth="1"/>
    <col min="4" max="4" width="12.77734375" style="1" customWidth="1"/>
    <col min="5" max="5" width="14.5546875" style="1" customWidth="1"/>
    <col min="6" max="6" width="14.6640625" style="1" customWidth="1"/>
    <col min="7" max="8" width="11.33203125" style="1" bestFit="1" customWidth="1"/>
    <col min="9" max="9" width="13.109375" style="38" bestFit="1" customWidth="1"/>
    <col min="10" max="10" width="9.77734375" style="1"/>
    <col min="11" max="11" width="11" style="1" customWidth="1"/>
    <col min="12" max="16384" width="9.77734375" style="1"/>
  </cols>
  <sheetData>
    <row r="1" spans="1:12" ht="18.75" thickBot="1" x14ac:dyDescent="0.3">
      <c r="A1" s="134" t="s">
        <v>153</v>
      </c>
    </row>
    <row r="2" spans="1:12" ht="15.75" thickBot="1" x14ac:dyDescent="0.3">
      <c r="A2" s="21" t="s">
        <v>152</v>
      </c>
      <c r="B2" s="22"/>
      <c r="C2" s="22"/>
      <c r="D2" s="22"/>
      <c r="E2" s="22"/>
      <c r="F2" s="22"/>
    </row>
    <row r="3" spans="1:12" s="7" customFormat="1" ht="47.25" customHeight="1" thickBot="1" x14ac:dyDescent="0.3">
      <c r="A3" s="11"/>
      <c r="B3" s="12" t="s">
        <v>59</v>
      </c>
      <c r="C3" s="12" t="s">
        <v>57</v>
      </c>
      <c r="D3" s="13" t="s">
        <v>3</v>
      </c>
      <c r="E3" s="14" t="s">
        <v>1</v>
      </c>
      <c r="F3" s="32" t="s">
        <v>2</v>
      </c>
      <c r="I3" s="39"/>
    </row>
    <row r="4" spans="1:12" x14ac:dyDescent="0.2">
      <c r="A4" s="15" t="s">
        <v>4</v>
      </c>
      <c r="B4" s="24">
        <v>44500</v>
      </c>
      <c r="C4" s="25">
        <v>44210</v>
      </c>
      <c r="D4" s="30">
        <v>47.186365000000002</v>
      </c>
      <c r="E4" s="26">
        <v>2086.1091966499998</v>
      </c>
      <c r="F4" s="33">
        <f>+E4/36.744</f>
        <v>56.774145347539729</v>
      </c>
      <c r="G4" s="36"/>
      <c r="H4" s="36"/>
      <c r="I4" s="40"/>
      <c r="K4" s="35"/>
    </row>
    <row r="5" spans="1:12" x14ac:dyDescent="0.2">
      <c r="A5" s="15" t="s">
        <v>5</v>
      </c>
      <c r="B5" s="24">
        <v>308300</v>
      </c>
      <c r="C5" s="25">
        <v>306300</v>
      </c>
      <c r="D5" s="30">
        <v>51</v>
      </c>
      <c r="E5" s="26">
        <v>15621.3</v>
      </c>
      <c r="F5" s="33">
        <f t="shared" ref="F5:F57" si="0">+E5/36.744</f>
        <v>425.13879817112996</v>
      </c>
      <c r="G5" s="36"/>
      <c r="H5" s="36"/>
      <c r="I5" s="40"/>
      <c r="K5" s="35"/>
    </row>
    <row r="6" spans="1:12" x14ac:dyDescent="0.2">
      <c r="A6" s="15" t="s">
        <v>6</v>
      </c>
      <c r="B6" s="24">
        <v>150700</v>
      </c>
      <c r="C6" s="25">
        <v>149720</v>
      </c>
      <c r="D6" s="30">
        <v>48.089767566123435</v>
      </c>
      <c r="E6" s="26">
        <v>7200.0000000000009</v>
      </c>
      <c r="F6" s="33">
        <f t="shared" si="0"/>
        <v>195.95035924232531</v>
      </c>
      <c r="G6" s="36"/>
      <c r="H6" s="36"/>
      <c r="I6" s="40"/>
      <c r="K6" s="35"/>
    </row>
    <row r="7" spans="1:12" x14ac:dyDescent="0.2">
      <c r="A7" s="15" t="s">
        <v>7</v>
      </c>
      <c r="B7" s="24">
        <v>236100</v>
      </c>
      <c r="C7" s="25">
        <v>234570</v>
      </c>
      <c r="D7" s="30">
        <v>47.747958987913798</v>
      </c>
      <c r="E7" s="26">
        <v>11200.238739794941</v>
      </c>
      <c r="F7" s="33">
        <f t="shared" si="0"/>
        <v>304.8181673142538</v>
      </c>
      <c r="G7" s="36"/>
      <c r="H7" s="36"/>
      <c r="I7" s="40"/>
      <c r="K7" s="35"/>
    </row>
    <row r="8" spans="1:12" x14ac:dyDescent="0.2">
      <c r="A8" s="15" t="s">
        <v>8</v>
      </c>
      <c r="B8" s="24">
        <v>118500</v>
      </c>
      <c r="C8" s="25">
        <v>117730</v>
      </c>
      <c r="D8" s="30">
        <v>48.415866813896201</v>
      </c>
      <c r="E8" s="26">
        <v>5700</v>
      </c>
      <c r="F8" s="33">
        <f t="shared" si="0"/>
        <v>155.12736773350753</v>
      </c>
      <c r="G8" s="36"/>
      <c r="H8" s="36"/>
      <c r="I8" s="40"/>
      <c r="K8" s="35"/>
    </row>
    <row r="9" spans="1:12" x14ac:dyDescent="0.2">
      <c r="A9" s="15" t="s">
        <v>9</v>
      </c>
      <c r="B9" s="24">
        <v>31000</v>
      </c>
      <c r="C9" s="25">
        <v>30800</v>
      </c>
      <c r="D9" s="30">
        <v>44</v>
      </c>
      <c r="E9" s="26">
        <v>1355.2</v>
      </c>
      <c r="F9" s="33">
        <f t="shared" si="0"/>
        <v>36.882212061833229</v>
      </c>
      <c r="G9" s="36"/>
      <c r="H9" s="36"/>
      <c r="I9" s="40"/>
      <c r="K9" s="35"/>
    </row>
    <row r="10" spans="1:12" x14ac:dyDescent="0.2">
      <c r="A10" s="15" t="s">
        <v>10</v>
      </c>
      <c r="B10" s="24">
        <v>335500</v>
      </c>
      <c r="C10" s="25">
        <v>333320</v>
      </c>
      <c r="D10" s="30">
        <v>43.34</v>
      </c>
      <c r="E10" s="26">
        <v>14446.088800000001</v>
      </c>
      <c r="F10" s="33">
        <f t="shared" si="0"/>
        <v>393.15504027868502</v>
      </c>
      <c r="G10" s="36"/>
      <c r="H10" s="36"/>
      <c r="I10" s="40"/>
      <c r="K10" s="35"/>
    </row>
    <row r="11" spans="1:12" x14ac:dyDescent="0.2">
      <c r="A11" s="15" t="s">
        <v>11</v>
      </c>
      <c r="B11" s="24">
        <v>244100</v>
      </c>
      <c r="C11" s="25">
        <v>242510</v>
      </c>
      <c r="D11" s="30">
        <v>48.964660000000002</v>
      </c>
      <c r="E11" s="26">
        <v>11874.419696600002</v>
      </c>
      <c r="F11" s="33">
        <f t="shared" si="0"/>
        <v>323.16622296429352</v>
      </c>
      <c r="G11" s="36"/>
      <c r="H11" s="36"/>
      <c r="I11" s="40"/>
      <c r="K11" s="35"/>
    </row>
    <row r="12" spans="1:12" x14ac:dyDescent="0.2">
      <c r="A12" s="15" t="s">
        <v>12</v>
      </c>
      <c r="B12" s="24">
        <v>56600</v>
      </c>
      <c r="C12" s="25">
        <v>56230</v>
      </c>
      <c r="D12" s="30">
        <v>43</v>
      </c>
      <c r="E12" s="26">
        <v>2417.89</v>
      </c>
      <c r="F12" s="33">
        <f t="shared" si="0"/>
        <v>65.80366862617025</v>
      </c>
      <c r="G12" s="36"/>
      <c r="H12" s="36"/>
      <c r="I12" s="40"/>
      <c r="K12" s="35"/>
    </row>
    <row r="13" spans="1:12" x14ac:dyDescent="0.2">
      <c r="A13" s="15" t="s">
        <v>13</v>
      </c>
      <c r="B13" s="24">
        <v>105200</v>
      </c>
      <c r="C13" s="25">
        <v>104520</v>
      </c>
      <c r="D13" s="30">
        <v>53.580313062114897</v>
      </c>
      <c r="E13" s="26">
        <v>5600.2143212522487</v>
      </c>
      <c r="F13" s="33">
        <f t="shared" si="0"/>
        <v>152.41166778936014</v>
      </c>
      <c r="G13" s="36"/>
      <c r="H13" s="36"/>
      <c r="I13" s="40"/>
      <c r="K13" s="35"/>
    </row>
    <row r="14" spans="1:12" s="5" customFormat="1" ht="15" x14ac:dyDescent="0.25">
      <c r="A14" s="16" t="s">
        <v>14</v>
      </c>
      <c r="B14" s="27">
        <v>1630500</v>
      </c>
      <c r="C14" s="27">
        <v>1619910</v>
      </c>
      <c r="D14" s="31">
        <v>47.842459411074756</v>
      </c>
      <c r="E14" s="27">
        <v>77501.460754297193</v>
      </c>
      <c r="F14" s="34">
        <f t="shared" si="0"/>
        <v>2109.2276495290985</v>
      </c>
      <c r="G14" s="37"/>
      <c r="H14" s="37"/>
      <c r="I14" s="41"/>
      <c r="K14" s="35"/>
      <c r="L14" s="1"/>
    </row>
    <row r="15" spans="1:12" x14ac:dyDescent="0.2">
      <c r="A15" s="15" t="s">
        <v>15</v>
      </c>
      <c r="B15" s="24">
        <v>101700</v>
      </c>
      <c r="C15" s="25">
        <v>101440</v>
      </c>
      <c r="D15" s="30">
        <v>39</v>
      </c>
      <c r="E15" s="26">
        <v>3956.16</v>
      </c>
      <c r="F15" s="33">
        <f t="shared" si="0"/>
        <v>107.66819072501633</v>
      </c>
      <c r="G15" s="36"/>
      <c r="H15" s="36"/>
      <c r="I15" s="40"/>
      <c r="K15" s="35"/>
    </row>
    <row r="16" spans="1:12" x14ac:dyDescent="0.2">
      <c r="A16" s="15" t="s">
        <v>16</v>
      </c>
      <c r="B16" s="24">
        <v>21400</v>
      </c>
      <c r="C16" s="25">
        <v>21350</v>
      </c>
      <c r="D16" s="30">
        <v>38.799999999999997</v>
      </c>
      <c r="E16" s="26">
        <v>828.37999999999988</v>
      </c>
      <c r="F16" s="33">
        <f t="shared" si="0"/>
        <v>22.54463313738297</v>
      </c>
      <c r="G16" s="36"/>
      <c r="H16" s="36"/>
      <c r="I16" s="40"/>
      <c r="K16" s="35"/>
    </row>
    <row r="17" spans="1:12" x14ac:dyDescent="0.2">
      <c r="A17" s="15" t="s">
        <v>17</v>
      </c>
      <c r="B17" s="24">
        <v>49700</v>
      </c>
      <c r="C17" s="25">
        <v>49580</v>
      </c>
      <c r="D17" s="30">
        <v>35.885430999999997</v>
      </c>
      <c r="E17" s="26">
        <v>1779.1996689799998</v>
      </c>
      <c r="F17" s="33">
        <f t="shared" si="0"/>
        <v>48.421501986174611</v>
      </c>
      <c r="G17" s="36"/>
      <c r="H17" s="36"/>
      <c r="I17" s="40"/>
      <c r="K17" s="35"/>
    </row>
    <row r="18" spans="1:12" x14ac:dyDescent="0.2">
      <c r="A18" s="15" t="s">
        <v>18</v>
      </c>
      <c r="B18" s="24">
        <v>18000</v>
      </c>
      <c r="C18" s="25">
        <v>17960</v>
      </c>
      <c r="D18" s="30">
        <v>35</v>
      </c>
      <c r="E18" s="26">
        <v>628.6</v>
      </c>
      <c r="F18" s="33">
        <f t="shared" si="0"/>
        <v>17.1075549749619</v>
      </c>
      <c r="G18" s="36"/>
      <c r="H18" s="36"/>
      <c r="I18" s="40"/>
      <c r="K18" s="35"/>
    </row>
    <row r="19" spans="1:12" x14ac:dyDescent="0.2">
      <c r="A19" s="15" t="s">
        <v>19</v>
      </c>
      <c r="B19" s="24">
        <v>224800</v>
      </c>
      <c r="C19" s="25">
        <v>224230</v>
      </c>
      <c r="D19" s="30">
        <v>44</v>
      </c>
      <c r="E19" s="26">
        <v>9866.1200000000008</v>
      </c>
      <c r="F19" s="33">
        <f t="shared" si="0"/>
        <v>268.50968865665146</v>
      </c>
      <c r="G19" s="36"/>
      <c r="H19" s="36"/>
      <c r="I19" s="40"/>
      <c r="K19" s="35"/>
    </row>
    <row r="20" spans="1:12" x14ac:dyDescent="0.2">
      <c r="A20" s="15" t="s">
        <v>20</v>
      </c>
      <c r="B20" s="24">
        <v>23600</v>
      </c>
      <c r="C20" s="25">
        <v>23540</v>
      </c>
      <c r="D20" s="30">
        <v>38</v>
      </c>
      <c r="E20" s="26">
        <v>894.52</v>
      </c>
      <c r="F20" s="33">
        <f t="shared" si="0"/>
        <v>24.344654909645111</v>
      </c>
      <c r="G20" s="36"/>
      <c r="H20" s="36"/>
      <c r="I20" s="40"/>
      <c r="K20" s="35"/>
    </row>
    <row r="21" spans="1:12" x14ac:dyDescent="0.2">
      <c r="A21" s="15" t="s">
        <v>21</v>
      </c>
      <c r="B21" s="24">
        <v>134600</v>
      </c>
      <c r="C21" s="25">
        <v>134260</v>
      </c>
      <c r="D21" s="30">
        <v>49.97</v>
      </c>
      <c r="E21" s="26">
        <v>6708.9722000000002</v>
      </c>
      <c r="F21" s="33">
        <f t="shared" si="0"/>
        <v>182.58687676899629</v>
      </c>
      <c r="G21" s="36"/>
      <c r="H21" s="36"/>
      <c r="I21" s="40"/>
      <c r="K21" s="35"/>
    </row>
    <row r="22" spans="1:12" x14ac:dyDescent="0.2">
      <c r="A22" s="15" t="s">
        <v>22</v>
      </c>
      <c r="B22" s="24">
        <v>121000</v>
      </c>
      <c r="C22" s="25">
        <v>120700</v>
      </c>
      <c r="D22" s="30">
        <v>33</v>
      </c>
      <c r="E22" s="26">
        <v>3983.1</v>
      </c>
      <c r="F22" s="33">
        <f t="shared" si="0"/>
        <v>108.4013716525147</v>
      </c>
      <c r="G22" s="36"/>
      <c r="H22" s="36"/>
      <c r="I22" s="40"/>
      <c r="K22" s="35"/>
    </row>
    <row r="23" spans="1:12" x14ac:dyDescent="0.2">
      <c r="A23" s="15" t="s">
        <v>23</v>
      </c>
      <c r="B23" s="24">
        <v>33700</v>
      </c>
      <c r="C23" s="25">
        <v>33620</v>
      </c>
      <c r="D23" s="30">
        <v>48</v>
      </c>
      <c r="E23" s="26">
        <v>1613.76</v>
      </c>
      <c r="F23" s="33">
        <f t="shared" si="0"/>
        <v>43.919007184846507</v>
      </c>
      <c r="G23" s="36"/>
      <c r="H23" s="36"/>
      <c r="I23" s="40"/>
      <c r="K23" s="35"/>
    </row>
    <row r="24" spans="1:12" x14ac:dyDescent="0.2">
      <c r="A24" s="15" t="s">
        <v>24</v>
      </c>
      <c r="B24" s="24">
        <v>103400</v>
      </c>
      <c r="C24" s="25">
        <v>103140</v>
      </c>
      <c r="D24" s="30">
        <v>45</v>
      </c>
      <c r="E24" s="26">
        <v>4641.3</v>
      </c>
      <c r="F24" s="33">
        <f t="shared" si="0"/>
        <v>126.31450032658394</v>
      </c>
      <c r="G24" s="36"/>
      <c r="H24" s="36"/>
      <c r="I24" s="40"/>
      <c r="K24" s="35"/>
    </row>
    <row r="25" spans="1:12" s="5" customFormat="1" ht="15" x14ac:dyDescent="0.25">
      <c r="A25" s="16" t="s">
        <v>25</v>
      </c>
      <c r="B25" s="27">
        <v>831900</v>
      </c>
      <c r="C25" s="27">
        <v>829820</v>
      </c>
      <c r="D25" s="31">
        <v>42.057448445421898</v>
      </c>
      <c r="E25" s="27">
        <v>34900.111868979999</v>
      </c>
      <c r="F25" s="34">
        <f t="shared" si="0"/>
        <v>949.81798032277379</v>
      </c>
      <c r="G25" s="37"/>
      <c r="H25" s="37"/>
      <c r="I25" s="41"/>
      <c r="K25" s="35"/>
      <c r="L25" s="1"/>
    </row>
    <row r="26" spans="1:12" x14ac:dyDescent="0.2">
      <c r="A26" s="15" t="s">
        <v>26</v>
      </c>
      <c r="B26" s="24">
        <v>53700</v>
      </c>
      <c r="C26" s="25">
        <v>52560</v>
      </c>
      <c r="D26" s="30">
        <v>32.343987823439875</v>
      </c>
      <c r="E26" s="26">
        <v>1699.9999999999998</v>
      </c>
      <c r="F26" s="33">
        <f t="shared" si="0"/>
        <v>46.266057043326796</v>
      </c>
      <c r="G26" s="36"/>
      <c r="H26" s="36"/>
      <c r="I26" s="40"/>
      <c r="K26" s="35"/>
    </row>
    <row r="27" spans="1:12" x14ac:dyDescent="0.2">
      <c r="A27" s="15" t="s">
        <v>27</v>
      </c>
      <c r="B27" s="44">
        <v>0</v>
      </c>
      <c r="C27" s="44">
        <v>0</v>
      </c>
      <c r="D27" s="44">
        <v>0</v>
      </c>
      <c r="E27" s="44">
        <v>0</v>
      </c>
      <c r="F27" s="33">
        <f t="shared" si="0"/>
        <v>0</v>
      </c>
      <c r="G27" s="36"/>
      <c r="H27" s="36"/>
      <c r="I27" s="40"/>
      <c r="K27" s="35"/>
    </row>
    <row r="28" spans="1:12" x14ac:dyDescent="0.2">
      <c r="A28" s="15" t="s">
        <v>28</v>
      </c>
      <c r="B28" s="24">
        <v>29800</v>
      </c>
      <c r="C28" s="25">
        <v>29170</v>
      </c>
      <c r="D28" s="30">
        <v>27.428257962766139</v>
      </c>
      <c r="E28" s="26">
        <v>800.08228477388832</v>
      </c>
      <c r="F28" s="33">
        <f t="shared" si="0"/>
        <v>21.774501545119975</v>
      </c>
      <c r="G28" s="36"/>
      <c r="H28" s="36"/>
      <c r="I28" s="40"/>
      <c r="K28" s="35"/>
    </row>
    <row r="29" spans="1:12" x14ac:dyDescent="0.2">
      <c r="A29" s="15" t="s">
        <v>29</v>
      </c>
      <c r="B29" s="24">
        <v>35200</v>
      </c>
      <c r="C29" s="25">
        <v>34450</v>
      </c>
      <c r="D29" s="30">
        <v>24.4</v>
      </c>
      <c r="E29" s="26">
        <v>840.58</v>
      </c>
      <c r="F29" s="33">
        <f t="shared" si="0"/>
        <v>22.876660134988025</v>
      </c>
      <c r="G29" s="36"/>
      <c r="H29" s="36"/>
      <c r="I29" s="40"/>
      <c r="K29" s="35"/>
    </row>
    <row r="30" spans="1:12" x14ac:dyDescent="0.2">
      <c r="A30" s="15" t="s">
        <v>30</v>
      </c>
      <c r="B30" s="44">
        <v>0</v>
      </c>
      <c r="C30" s="44">
        <v>0</v>
      </c>
      <c r="D30" s="44">
        <v>0</v>
      </c>
      <c r="E30" s="44">
        <v>0</v>
      </c>
      <c r="F30" s="33">
        <f t="shared" si="0"/>
        <v>0</v>
      </c>
      <c r="G30" s="36"/>
      <c r="H30" s="36"/>
      <c r="I30" s="40"/>
      <c r="K30" s="35"/>
    </row>
    <row r="31" spans="1:12" x14ac:dyDescent="0.2">
      <c r="A31" s="15" t="s">
        <v>31</v>
      </c>
      <c r="B31" s="24">
        <v>41500</v>
      </c>
      <c r="C31" s="25">
        <v>40620</v>
      </c>
      <c r="D31" s="30">
        <v>36.92853098303749</v>
      </c>
      <c r="E31" s="26">
        <v>1500.036928530983</v>
      </c>
      <c r="F31" s="33">
        <f t="shared" si="0"/>
        <v>40.823996530888934</v>
      </c>
      <c r="G31" s="36"/>
      <c r="H31" s="36"/>
      <c r="I31" s="40"/>
      <c r="K31" s="35"/>
    </row>
    <row r="32" spans="1:12" x14ac:dyDescent="0.2">
      <c r="A32" s="15" t="s">
        <v>32</v>
      </c>
      <c r="B32" s="44">
        <v>0</v>
      </c>
      <c r="C32" s="44">
        <v>0</v>
      </c>
      <c r="D32" s="44">
        <v>0</v>
      </c>
      <c r="E32" s="44">
        <v>0</v>
      </c>
      <c r="F32" s="33">
        <f t="shared" si="0"/>
        <v>0</v>
      </c>
      <c r="G32" s="36"/>
      <c r="H32" s="36"/>
      <c r="I32" s="40"/>
      <c r="K32" s="35"/>
    </row>
    <row r="33" spans="1:12" x14ac:dyDescent="0.2">
      <c r="A33" s="15" t="s">
        <v>33</v>
      </c>
      <c r="B33" s="24">
        <v>14100</v>
      </c>
      <c r="C33" s="25">
        <v>13800</v>
      </c>
      <c r="D33" s="30">
        <v>28.9</v>
      </c>
      <c r="E33" s="26">
        <v>398.82</v>
      </c>
      <c r="F33" s="33">
        <f t="shared" si="0"/>
        <v>10.854016982364467</v>
      </c>
      <c r="G33" s="36"/>
      <c r="H33" s="36"/>
      <c r="I33" s="40"/>
      <c r="K33" s="35"/>
    </row>
    <row r="34" spans="1:12" x14ac:dyDescent="0.2">
      <c r="A34" s="15" t="s">
        <v>34</v>
      </c>
      <c r="B34" s="24">
        <v>19100</v>
      </c>
      <c r="C34" s="25">
        <v>18700</v>
      </c>
      <c r="D34" s="30">
        <v>26.745119015779622</v>
      </c>
      <c r="E34" s="26">
        <v>500.13372559507894</v>
      </c>
      <c r="F34" s="33">
        <f t="shared" si="0"/>
        <v>13.611303222160869</v>
      </c>
      <c r="G34" s="36"/>
      <c r="H34" s="36"/>
      <c r="I34" s="40"/>
      <c r="K34" s="35"/>
    </row>
    <row r="35" spans="1:12" x14ac:dyDescent="0.2">
      <c r="A35" s="15" t="s">
        <v>35</v>
      </c>
      <c r="B35" s="24">
        <v>16600</v>
      </c>
      <c r="C35" s="25">
        <v>16250</v>
      </c>
      <c r="D35" s="30">
        <v>34.404234367306749</v>
      </c>
      <c r="E35" s="26">
        <v>559.06880846873469</v>
      </c>
      <c r="F35" s="33">
        <f t="shared" si="0"/>
        <v>15.215240813976015</v>
      </c>
      <c r="G35" s="36"/>
      <c r="H35" s="36"/>
      <c r="I35" s="40"/>
      <c r="K35" s="35"/>
    </row>
    <row r="36" spans="1:12" s="5" customFormat="1" ht="15" x14ac:dyDescent="0.25">
      <c r="A36" s="16" t="s">
        <v>36</v>
      </c>
      <c r="B36" s="27">
        <v>221400</v>
      </c>
      <c r="C36" s="27">
        <v>216700</v>
      </c>
      <c r="D36" s="31">
        <v>31.25980618366405</v>
      </c>
      <c r="E36" s="27">
        <v>6774</v>
      </c>
      <c r="F36" s="34">
        <f t="shared" si="0"/>
        <v>184.35662965382105</v>
      </c>
      <c r="G36" s="37"/>
      <c r="H36" s="37"/>
      <c r="I36" s="41"/>
      <c r="K36" s="35"/>
      <c r="L36" s="1"/>
    </row>
    <row r="37" spans="1:12" x14ac:dyDescent="0.2">
      <c r="A37" s="15" t="s">
        <v>37</v>
      </c>
      <c r="B37" s="24">
        <v>14200</v>
      </c>
      <c r="C37" s="25">
        <v>13950</v>
      </c>
      <c r="D37" s="30">
        <v>28</v>
      </c>
      <c r="E37" s="26">
        <v>390.6</v>
      </c>
      <c r="F37" s="33">
        <f t="shared" si="0"/>
        <v>10.630306988896146</v>
      </c>
      <c r="G37" s="36"/>
      <c r="H37" s="36"/>
      <c r="I37" s="40"/>
      <c r="K37" s="35"/>
    </row>
    <row r="38" spans="1:12" x14ac:dyDescent="0.2">
      <c r="A38" s="15" t="s">
        <v>38</v>
      </c>
      <c r="B38" s="24">
        <v>11900</v>
      </c>
      <c r="C38" s="25">
        <v>11600</v>
      </c>
      <c r="D38" s="30">
        <v>34</v>
      </c>
      <c r="E38" s="26">
        <v>394.4</v>
      </c>
      <c r="F38" s="33">
        <f t="shared" si="0"/>
        <v>10.733725234051818</v>
      </c>
      <c r="G38" s="36"/>
      <c r="H38" s="36"/>
      <c r="I38" s="40"/>
      <c r="K38" s="35"/>
    </row>
    <row r="39" spans="1:12" x14ac:dyDescent="0.2">
      <c r="A39" s="15" t="s">
        <v>39</v>
      </c>
      <c r="B39" s="24">
        <v>33600</v>
      </c>
      <c r="C39" s="25">
        <v>33000</v>
      </c>
      <c r="D39" s="30">
        <v>33.46</v>
      </c>
      <c r="E39" s="26">
        <v>1104.18</v>
      </c>
      <c r="F39" s="33">
        <f t="shared" si="0"/>
        <v>30.050620509470935</v>
      </c>
      <c r="G39" s="36"/>
      <c r="H39" s="36"/>
      <c r="I39" s="40"/>
      <c r="K39" s="35"/>
    </row>
    <row r="40" spans="1:12" x14ac:dyDescent="0.2">
      <c r="A40" s="15" t="s">
        <v>40</v>
      </c>
      <c r="B40" s="24">
        <v>12800</v>
      </c>
      <c r="C40" s="25">
        <v>12580</v>
      </c>
      <c r="D40" s="30">
        <v>28.9</v>
      </c>
      <c r="E40" s="26">
        <v>363.56200000000001</v>
      </c>
      <c r="F40" s="33">
        <f t="shared" si="0"/>
        <v>9.8944589592858705</v>
      </c>
      <c r="G40" s="36"/>
      <c r="H40" s="36"/>
      <c r="I40" s="40"/>
      <c r="K40" s="35"/>
    </row>
    <row r="41" spans="1:12" x14ac:dyDescent="0.2">
      <c r="A41" s="15" t="s">
        <v>41</v>
      </c>
      <c r="B41" s="24">
        <v>66400</v>
      </c>
      <c r="C41" s="25">
        <v>65240</v>
      </c>
      <c r="D41" s="30">
        <v>45</v>
      </c>
      <c r="E41" s="26">
        <v>2935.8</v>
      </c>
      <c r="F41" s="33">
        <f t="shared" si="0"/>
        <v>79.898758981058137</v>
      </c>
      <c r="G41" s="36"/>
      <c r="H41" s="36"/>
      <c r="I41" s="40"/>
      <c r="K41" s="35"/>
    </row>
    <row r="42" spans="1:12" x14ac:dyDescent="0.2">
      <c r="A42" s="15" t="s">
        <v>42</v>
      </c>
      <c r="B42" s="24">
        <v>109500</v>
      </c>
      <c r="C42" s="25">
        <v>107590</v>
      </c>
      <c r="D42" s="30">
        <v>39</v>
      </c>
      <c r="E42" s="26">
        <v>4196.01</v>
      </c>
      <c r="F42" s="33">
        <f t="shared" si="0"/>
        <v>114.1957870672763</v>
      </c>
      <c r="G42" s="36"/>
      <c r="H42" s="36"/>
      <c r="I42" s="40"/>
      <c r="K42" s="35"/>
    </row>
    <row r="43" spans="1:12" x14ac:dyDescent="0.2">
      <c r="A43" s="15" t="s">
        <v>43</v>
      </c>
      <c r="B43" s="24">
        <v>28000</v>
      </c>
      <c r="C43" s="25">
        <v>27510</v>
      </c>
      <c r="D43" s="30">
        <v>31.5</v>
      </c>
      <c r="E43" s="26">
        <v>866.56500000000005</v>
      </c>
      <c r="F43" s="33">
        <f t="shared" si="0"/>
        <v>23.583850424559113</v>
      </c>
      <c r="G43" s="36"/>
      <c r="H43" s="36"/>
      <c r="I43" s="40"/>
      <c r="K43" s="35"/>
    </row>
    <row r="44" spans="1:12" x14ac:dyDescent="0.2">
      <c r="A44" s="15" t="s">
        <v>44</v>
      </c>
      <c r="B44" s="24">
        <v>137200</v>
      </c>
      <c r="C44" s="25">
        <v>135010</v>
      </c>
      <c r="D44" s="30">
        <v>46.2</v>
      </c>
      <c r="E44" s="26">
        <v>6237.4620000000004</v>
      </c>
      <c r="F44" s="33">
        <f t="shared" si="0"/>
        <v>169.75457217504899</v>
      </c>
      <c r="G44" s="36"/>
      <c r="H44" s="36"/>
      <c r="I44" s="40"/>
      <c r="K44" s="35"/>
    </row>
    <row r="45" spans="1:12" s="5" customFormat="1" ht="15" x14ac:dyDescent="0.25">
      <c r="A45" s="16" t="s">
        <v>45</v>
      </c>
      <c r="B45" s="27">
        <v>413600</v>
      </c>
      <c r="C45" s="27">
        <v>406480</v>
      </c>
      <c r="D45" s="31">
        <v>40.564305746900217</v>
      </c>
      <c r="E45" s="27">
        <v>16488.579000000002</v>
      </c>
      <c r="F45" s="34">
        <f t="shared" si="0"/>
        <v>448.74208033964732</v>
      </c>
      <c r="G45" s="37"/>
      <c r="H45" s="37"/>
      <c r="I45" s="41"/>
      <c r="K45" s="35"/>
      <c r="L45" s="1"/>
    </row>
    <row r="46" spans="1:12" x14ac:dyDescent="0.2">
      <c r="A46" s="15" t="s">
        <v>46</v>
      </c>
      <c r="B46" s="44">
        <v>0</v>
      </c>
      <c r="C46" s="44">
        <v>0</v>
      </c>
      <c r="D46" s="44">
        <v>0</v>
      </c>
      <c r="E46" s="44">
        <v>0</v>
      </c>
      <c r="F46" s="33">
        <f t="shared" si="0"/>
        <v>0</v>
      </c>
      <c r="G46" s="36"/>
      <c r="H46" s="36"/>
      <c r="I46" s="40"/>
      <c r="K46" s="35"/>
    </row>
    <row r="47" spans="1:12" x14ac:dyDescent="0.2">
      <c r="A47" s="15" t="s">
        <v>47</v>
      </c>
      <c r="B47" s="44">
        <v>0</v>
      </c>
      <c r="C47" s="44">
        <v>0</v>
      </c>
      <c r="D47" s="44">
        <v>0</v>
      </c>
      <c r="E47" s="44">
        <v>0</v>
      </c>
      <c r="F47" s="33">
        <f t="shared" si="0"/>
        <v>0</v>
      </c>
      <c r="G47" s="36"/>
      <c r="H47" s="36"/>
      <c r="I47" s="40"/>
      <c r="K47" s="35"/>
    </row>
    <row r="48" spans="1:12" x14ac:dyDescent="0.2">
      <c r="A48" s="17" t="s">
        <v>48</v>
      </c>
      <c r="B48" s="44">
        <v>400</v>
      </c>
      <c r="C48" s="44">
        <v>400</v>
      </c>
      <c r="D48" s="44">
        <v>0</v>
      </c>
      <c r="E48" s="44">
        <v>0</v>
      </c>
      <c r="F48" s="33">
        <f t="shared" si="0"/>
        <v>0</v>
      </c>
      <c r="G48" s="36"/>
      <c r="H48" s="36"/>
      <c r="I48" s="40"/>
      <c r="K48" s="35"/>
    </row>
    <row r="49" spans="1:12" x14ac:dyDescent="0.2">
      <c r="A49" s="15" t="s">
        <v>49</v>
      </c>
      <c r="B49" s="44">
        <v>0</v>
      </c>
      <c r="C49" s="44">
        <v>0</v>
      </c>
      <c r="D49" s="44">
        <v>0</v>
      </c>
      <c r="E49" s="44">
        <v>0</v>
      </c>
      <c r="F49" s="33">
        <f t="shared" si="0"/>
        <v>0</v>
      </c>
      <c r="G49" s="36"/>
      <c r="H49" s="36"/>
      <c r="I49" s="40"/>
      <c r="K49" s="35"/>
    </row>
    <row r="50" spans="1:12" x14ac:dyDescent="0.2">
      <c r="A50" s="15" t="s">
        <v>50</v>
      </c>
      <c r="B50" s="44">
        <v>0</v>
      </c>
      <c r="C50" s="44">
        <v>0</v>
      </c>
      <c r="D50" s="44">
        <v>0</v>
      </c>
      <c r="E50" s="44">
        <v>0</v>
      </c>
      <c r="F50" s="33">
        <f t="shared" si="0"/>
        <v>0</v>
      </c>
      <c r="G50" s="36"/>
      <c r="H50" s="36"/>
      <c r="I50" s="40"/>
      <c r="K50" s="35"/>
    </row>
    <row r="51" spans="1:12" x14ac:dyDescent="0.2">
      <c r="A51" s="15" t="s">
        <v>51</v>
      </c>
      <c r="B51" s="26">
        <v>2100</v>
      </c>
      <c r="C51" s="25">
        <v>2080</v>
      </c>
      <c r="D51" s="30">
        <v>36.005760921747481</v>
      </c>
      <c r="E51" s="26">
        <v>74.891982717234754</v>
      </c>
      <c r="F51" s="33">
        <f t="shared" si="0"/>
        <v>2.0382098496961341</v>
      </c>
      <c r="G51" s="36"/>
      <c r="H51" s="36"/>
      <c r="I51" s="40"/>
      <c r="K51" s="35"/>
    </row>
    <row r="52" spans="1:12" x14ac:dyDescent="0.2">
      <c r="A52" s="15" t="s">
        <v>52</v>
      </c>
      <c r="B52" s="26">
        <v>3000</v>
      </c>
      <c r="C52" s="25">
        <v>2980</v>
      </c>
      <c r="D52" s="30">
        <v>41.666666666666664</v>
      </c>
      <c r="E52" s="26">
        <v>124.16666666666666</v>
      </c>
      <c r="F52" s="33">
        <f t="shared" si="0"/>
        <v>3.3792365193410259</v>
      </c>
      <c r="G52" s="36"/>
      <c r="H52" s="36"/>
      <c r="I52" s="40"/>
      <c r="K52" s="35"/>
    </row>
    <row r="53" spans="1:12" x14ac:dyDescent="0.2">
      <c r="A53" s="15" t="s">
        <v>53</v>
      </c>
      <c r="B53" s="44">
        <v>0</v>
      </c>
      <c r="C53" s="44">
        <v>0</v>
      </c>
      <c r="D53" s="44">
        <v>0</v>
      </c>
      <c r="E53" s="44">
        <v>0</v>
      </c>
      <c r="F53" s="33">
        <f t="shared" si="0"/>
        <v>0</v>
      </c>
      <c r="G53" s="36"/>
      <c r="H53" s="36"/>
      <c r="I53" s="40"/>
      <c r="K53" s="35"/>
    </row>
    <row r="54" spans="1:12" x14ac:dyDescent="0.2">
      <c r="A54" s="15" t="s">
        <v>54</v>
      </c>
      <c r="B54" s="44">
        <v>0</v>
      </c>
      <c r="C54" s="44">
        <v>0</v>
      </c>
      <c r="D54" s="44">
        <v>0</v>
      </c>
      <c r="E54" s="44">
        <v>0</v>
      </c>
      <c r="F54" s="33">
        <f t="shared" si="0"/>
        <v>0</v>
      </c>
      <c r="G54" s="36"/>
      <c r="H54" s="36"/>
      <c r="I54" s="40"/>
      <c r="K54" s="35"/>
    </row>
    <row r="55" spans="1:12" x14ac:dyDescent="0.2">
      <c r="A55" s="15" t="s">
        <v>55</v>
      </c>
      <c r="B55" s="24">
        <v>9900</v>
      </c>
      <c r="C55" s="25">
        <v>9820</v>
      </c>
      <c r="D55" s="30">
        <v>26.982995621627126</v>
      </c>
      <c r="E55" s="26">
        <v>264.97301700437839</v>
      </c>
      <c r="F55" s="33">
        <f t="shared" si="0"/>
        <v>7.211327482157043</v>
      </c>
      <c r="G55" s="36"/>
      <c r="H55" s="36"/>
      <c r="I55" s="40"/>
      <c r="K55" s="35"/>
    </row>
    <row r="56" spans="1:12" s="5" customFormat="1" ht="15" x14ac:dyDescent="0.25">
      <c r="A56" s="16" t="s">
        <v>56</v>
      </c>
      <c r="B56" s="27">
        <v>17100</v>
      </c>
      <c r="C56" s="27">
        <v>16690</v>
      </c>
      <c r="D56" s="31">
        <v>35.230677052127021</v>
      </c>
      <c r="E56" s="27">
        <v>588</v>
      </c>
      <c r="F56" s="34">
        <f t="shared" si="0"/>
        <v>16.002612671456564</v>
      </c>
      <c r="G56" s="37"/>
      <c r="H56" s="37"/>
      <c r="I56" s="41"/>
      <c r="K56" s="35"/>
      <c r="L56" s="1"/>
    </row>
    <row r="57" spans="1:12" s="5" customFormat="1" ht="15.75" thickBot="1" x14ac:dyDescent="0.3">
      <c r="A57" s="18" t="s">
        <v>0</v>
      </c>
      <c r="B57" s="27">
        <v>3114500</v>
      </c>
      <c r="C57" s="28">
        <v>3089600</v>
      </c>
      <c r="D57" s="31">
        <v>44.09988348006214</v>
      </c>
      <c r="E57" s="29">
        <v>136251</v>
      </c>
      <c r="F57" s="34">
        <f t="shared" si="0"/>
        <v>3708.1156107119532</v>
      </c>
      <c r="G57" s="37"/>
      <c r="H57" s="37"/>
      <c r="I57" s="41"/>
      <c r="K57" s="35"/>
      <c r="L57" s="1"/>
    </row>
    <row r="58" spans="1:12" s="5" customFormat="1" ht="15" x14ac:dyDescent="0.25">
      <c r="B58" s="6"/>
      <c r="C58" s="6"/>
      <c r="D58" s="6"/>
      <c r="E58" s="6"/>
      <c r="F58" s="6"/>
      <c r="I58" s="42"/>
    </row>
    <row r="59" spans="1:12" s="9" customFormat="1" x14ac:dyDescent="0.2">
      <c r="A59" s="8"/>
      <c r="B59" s="19"/>
      <c r="C59" s="19"/>
      <c r="D59" s="20"/>
      <c r="E59" s="20"/>
      <c r="F59" s="19"/>
      <c r="I59" s="43"/>
    </row>
    <row r="60" spans="1:12" ht="210.75" customHeight="1" x14ac:dyDescent="0.2">
      <c r="A60" s="23" t="s">
        <v>58</v>
      </c>
      <c r="B60" s="23"/>
      <c r="C60" s="23"/>
      <c r="D60" s="23"/>
      <c r="E60" s="23"/>
      <c r="F60" s="23"/>
    </row>
    <row r="61" spans="1:12" ht="15" x14ac:dyDescent="0.25">
      <c r="A61" s="10" t="s">
        <v>60</v>
      </c>
      <c r="B61" s="3"/>
      <c r="C61" s="3"/>
      <c r="D61" s="4"/>
      <c r="E61" s="4"/>
      <c r="F61" s="3"/>
    </row>
    <row r="62" spans="1:12" x14ac:dyDescent="0.2">
      <c r="A62" s="45">
        <v>44107</v>
      </c>
      <c r="B62" s="3"/>
      <c r="C62" s="3"/>
      <c r="D62" s="4"/>
      <c r="E62" s="4"/>
      <c r="F62" s="3"/>
    </row>
    <row r="63" spans="1:12" x14ac:dyDescent="0.2">
      <c r="A63" s="2"/>
      <c r="B63" s="3"/>
      <c r="C63" s="3"/>
      <c r="D63" s="4"/>
      <c r="E63" s="4"/>
      <c r="F63" s="3"/>
    </row>
    <row r="64" spans="1:12" x14ac:dyDescent="0.2">
      <c r="A64" s="2"/>
      <c r="B64" s="3"/>
      <c r="C64" s="3"/>
      <c r="D64" s="4"/>
      <c r="E64" s="4"/>
      <c r="F64" s="3"/>
    </row>
    <row r="65" spans="1:6" x14ac:dyDescent="0.2">
      <c r="A65" s="2"/>
      <c r="B65" s="3"/>
      <c r="C65" s="3"/>
      <c r="D65" s="4"/>
      <c r="E65" s="4"/>
      <c r="F65" s="3"/>
    </row>
    <row r="66" spans="1:6" x14ac:dyDescent="0.2">
      <c r="A66" s="2"/>
      <c r="B66" s="3"/>
      <c r="C66" s="3"/>
      <c r="D66" s="4"/>
      <c r="E66" s="4"/>
      <c r="F66" s="3"/>
    </row>
    <row r="67" spans="1:6" x14ac:dyDescent="0.2">
      <c r="A67" s="2"/>
      <c r="B67" s="3"/>
      <c r="C67" s="3"/>
      <c r="D67" s="4"/>
      <c r="E67" s="4"/>
      <c r="F67" s="3"/>
    </row>
    <row r="68" spans="1:6" x14ac:dyDescent="0.2">
      <c r="A68" s="2"/>
      <c r="B68" s="3"/>
      <c r="C68" s="3"/>
      <c r="D68" s="4"/>
      <c r="E68" s="4"/>
      <c r="F68" s="3"/>
    </row>
    <row r="69" spans="1:6" x14ac:dyDescent="0.2">
      <c r="A69" s="2"/>
      <c r="B69" s="3"/>
      <c r="C69" s="3"/>
      <c r="D69" s="4"/>
      <c r="E69" s="4"/>
      <c r="F69" s="3"/>
    </row>
    <row r="70" spans="1:6" x14ac:dyDescent="0.2">
      <c r="A70" s="2"/>
      <c r="B70" s="3"/>
      <c r="C70" s="3"/>
      <c r="D70" s="4"/>
      <c r="E70" s="4"/>
      <c r="F70" s="3"/>
    </row>
    <row r="71" spans="1:6" x14ac:dyDescent="0.2">
      <c r="A71" s="2"/>
      <c r="B71" s="3"/>
      <c r="C71" s="3"/>
      <c r="D71" s="4"/>
      <c r="E71" s="4"/>
      <c r="F71" s="3"/>
    </row>
    <row r="72" spans="1:6" x14ac:dyDescent="0.2">
      <c r="A72" s="2"/>
      <c r="B72" s="3"/>
      <c r="C72" s="3"/>
      <c r="D72" s="4"/>
      <c r="E72" s="4"/>
      <c r="F72" s="3"/>
    </row>
    <row r="73" spans="1:6" x14ac:dyDescent="0.2">
      <c r="A73" s="2"/>
      <c r="B73" s="3"/>
      <c r="C73" s="3"/>
      <c r="D73" s="4"/>
      <c r="E73" s="4"/>
      <c r="F73" s="3"/>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c r="B83" s="2"/>
      <c r="C83" s="2"/>
      <c r="D83" s="2"/>
      <c r="E83" s="2"/>
      <c r="F83" s="2"/>
    </row>
    <row r="84" spans="1:6" x14ac:dyDescent="0.2">
      <c r="A84" s="2"/>
    </row>
    <row r="85" spans="1:6" x14ac:dyDescent="0.2">
      <c r="A85" s="2"/>
    </row>
    <row r="86" spans="1:6" x14ac:dyDescent="0.2">
      <c r="A86" s="2"/>
    </row>
    <row r="87" spans="1:6" x14ac:dyDescent="0.2">
      <c r="A87" s="2"/>
    </row>
    <row r="88" spans="1:6" x14ac:dyDescent="0.2">
      <c r="A88" s="2"/>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pageSetUpPr fitToPage="1"/>
  </sheetPr>
  <dimension ref="A2:L88"/>
  <sheetViews>
    <sheetView defaultGridColor="0" view="pageBreakPreview" colorId="22" zoomScale="115" zoomScaleNormal="75" zoomScaleSheetLayoutView="115" workbookViewId="0"/>
  </sheetViews>
  <sheetFormatPr defaultColWidth="9.77734375" defaultRowHeight="14.25" x14ac:dyDescent="0.2"/>
  <cols>
    <col min="1" max="1" width="34.5546875" style="1" customWidth="1"/>
    <col min="2" max="2" width="13.77734375" style="1" customWidth="1"/>
    <col min="3" max="3" width="13.109375" style="1" customWidth="1"/>
    <col min="4" max="5" width="15.33203125" style="1" customWidth="1"/>
    <col min="6" max="6" width="14.6640625" style="1" customWidth="1"/>
    <col min="7" max="8" width="11.33203125" style="1" bestFit="1" customWidth="1"/>
    <col min="9" max="9" width="13.109375" style="38" bestFit="1" customWidth="1"/>
    <col min="10" max="10" width="9.77734375" style="1"/>
    <col min="11" max="11" width="11" style="1" customWidth="1"/>
    <col min="12" max="16384" width="9.77734375" style="1"/>
  </cols>
  <sheetData>
    <row r="2" spans="1:12" ht="15.75" thickBot="1" x14ac:dyDescent="0.3">
      <c r="A2" s="21" t="s">
        <v>61</v>
      </c>
      <c r="B2" s="22"/>
      <c r="C2" s="22"/>
      <c r="D2" s="22"/>
      <c r="E2" s="22"/>
      <c r="F2" s="22"/>
    </row>
    <row r="3" spans="1:12" s="7" customFormat="1" ht="47.25" customHeight="1" thickBot="1" x14ac:dyDescent="0.3">
      <c r="A3" s="11"/>
      <c r="B3" s="12" t="s">
        <v>59</v>
      </c>
      <c r="C3" s="12" t="s">
        <v>57</v>
      </c>
      <c r="D3" s="13" t="s">
        <v>3</v>
      </c>
      <c r="E3" s="14" t="s">
        <v>1</v>
      </c>
      <c r="F3" s="32" t="s">
        <v>2</v>
      </c>
      <c r="I3" s="39"/>
    </row>
    <row r="4" spans="1:12" x14ac:dyDescent="0.2">
      <c r="A4" s="15" t="s">
        <v>4</v>
      </c>
      <c r="B4" s="24">
        <v>53900</v>
      </c>
      <c r="C4" s="25">
        <v>53708</v>
      </c>
      <c r="D4" s="30">
        <v>50.271840321739781</v>
      </c>
      <c r="E4" s="26">
        <v>2700</v>
      </c>
      <c r="F4" s="33">
        <v>73.481384715871982</v>
      </c>
      <c r="G4" s="36"/>
      <c r="H4" s="36"/>
      <c r="I4" s="40"/>
      <c r="K4" s="35"/>
    </row>
    <row r="5" spans="1:12" x14ac:dyDescent="0.2">
      <c r="A5" s="15" t="s">
        <v>5</v>
      </c>
      <c r="B5" s="24">
        <v>267100</v>
      </c>
      <c r="C5" s="25">
        <v>266147</v>
      </c>
      <c r="D5" s="30">
        <v>52.226776931545352</v>
      </c>
      <c r="E5" s="26">
        <v>13900</v>
      </c>
      <c r="F5" s="33">
        <v>378.29305464837796</v>
      </c>
      <c r="G5" s="36"/>
      <c r="H5" s="36"/>
      <c r="I5" s="40"/>
      <c r="K5" s="35"/>
    </row>
    <row r="6" spans="1:12" x14ac:dyDescent="0.2">
      <c r="A6" s="15" t="s">
        <v>6</v>
      </c>
      <c r="B6" s="24">
        <v>121900</v>
      </c>
      <c r="C6" s="25">
        <v>121465</v>
      </c>
      <c r="D6" s="30">
        <v>51.86679290330548</v>
      </c>
      <c r="E6" s="26">
        <v>6300</v>
      </c>
      <c r="F6" s="33">
        <v>171.45656433703462</v>
      </c>
      <c r="G6" s="36"/>
      <c r="H6" s="36"/>
      <c r="I6" s="40"/>
      <c r="K6" s="35"/>
    </row>
    <row r="7" spans="1:12" x14ac:dyDescent="0.2">
      <c r="A7" s="15" t="s">
        <v>7</v>
      </c>
      <c r="B7" s="24">
        <v>182400</v>
      </c>
      <c r="C7" s="25">
        <v>181749</v>
      </c>
      <c r="D7" s="30">
        <v>48.968632564690864</v>
      </c>
      <c r="E7" s="26">
        <v>8900</v>
      </c>
      <c r="F7" s="33">
        <v>242.21641628565209</v>
      </c>
      <c r="G7" s="36"/>
      <c r="H7" s="36"/>
      <c r="I7" s="40"/>
      <c r="K7" s="35"/>
    </row>
    <row r="8" spans="1:12" x14ac:dyDescent="0.2">
      <c r="A8" s="15" t="s">
        <v>8</v>
      </c>
      <c r="B8" s="24">
        <v>130400</v>
      </c>
      <c r="C8" s="25">
        <v>129935</v>
      </c>
      <c r="D8" s="30">
        <v>60.030015007503756</v>
      </c>
      <c r="E8" s="26">
        <v>7800</v>
      </c>
      <c r="F8" s="33">
        <v>212.27955584585237</v>
      </c>
      <c r="G8" s="36"/>
      <c r="H8" s="36"/>
      <c r="I8" s="40"/>
      <c r="K8" s="35"/>
    </row>
    <row r="9" spans="1:12" x14ac:dyDescent="0.2">
      <c r="A9" s="15" t="s">
        <v>9</v>
      </c>
      <c r="B9" s="24">
        <v>32200</v>
      </c>
      <c r="C9" s="25">
        <v>32085</v>
      </c>
      <c r="D9" s="30">
        <v>46.750818139317438</v>
      </c>
      <c r="E9" s="26">
        <v>1500</v>
      </c>
      <c r="F9" s="33">
        <v>40.822991508817765</v>
      </c>
      <c r="G9" s="36"/>
      <c r="H9" s="36"/>
      <c r="I9" s="40"/>
      <c r="K9" s="35"/>
    </row>
    <row r="10" spans="1:12" x14ac:dyDescent="0.2">
      <c r="A10" s="15" t="s">
        <v>10</v>
      </c>
      <c r="B10" s="24">
        <v>299400</v>
      </c>
      <c r="C10" s="25">
        <v>298332</v>
      </c>
      <c r="D10" s="30">
        <v>50.949948379657563</v>
      </c>
      <c r="E10" s="26">
        <v>15200</v>
      </c>
      <c r="F10" s="33">
        <v>413.67298062268668</v>
      </c>
      <c r="G10" s="36"/>
      <c r="H10" s="36"/>
      <c r="I10" s="40"/>
      <c r="K10" s="35"/>
    </row>
    <row r="11" spans="1:12" x14ac:dyDescent="0.2">
      <c r="A11" s="15" t="s">
        <v>11</v>
      </c>
      <c r="B11" s="24">
        <v>211000</v>
      </c>
      <c r="C11" s="25">
        <v>210247</v>
      </c>
      <c r="D11" s="30">
        <v>54.69757000099883</v>
      </c>
      <c r="E11" s="26">
        <v>11500</v>
      </c>
      <c r="F11" s="33">
        <v>312.97626823426953</v>
      </c>
      <c r="G11" s="36"/>
      <c r="H11" s="36"/>
      <c r="I11" s="40"/>
      <c r="K11" s="35"/>
    </row>
    <row r="12" spans="1:12" ht="18" x14ac:dyDescent="0.25">
      <c r="A12" s="15" t="s">
        <v>12</v>
      </c>
      <c r="B12" s="24">
        <v>60800</v>
      </c>
      <c r="C12" s="25">
        <v>60583</v>
      </c>
      <c r="D12" s="30">
        <v>46.217585791393624</v>
      </c>
      <c r="E12" s="26">
        <v>2800</v>
      </c>
      <c r="F12" s="33">
        <v>76.202917483126498</v>
      </c>
      <c r="G12" s="36"/>
      <c r="H12" s="133"/>
      <c r="I12" s="40"/>
      <c r="K12" s="35"/>
    </row>
    <row r="13" spans="1:12" x14ac:dyDescent="0.2">
      <c r="A13" s="15" t="s">
        <v>13</v>
      </c>
      <c r="B13" s="24">
        <v>126500</v>
      </c>
      <c r="C13" s="25">
        <v>126049</v>
      </c>
      <c r="D13" s="30">
        <v>56.327301287594508</v>
      </c>
      <c r="E13" s="26">
        <v>7100</v>
      </c>
      <c r="F13" s="33">
        <v>193.22882647507075</v>
      </c>
      <c r="G13" s="36"/>
      <c r="H13" s="36"/>
      <c r="I13" s="40"/>
      <c r="K13" s="35"/>
    </row>
    <row r="14" spans="1:12" s="5" customFormat="1" ht="15" x14ac:dyDescent="0.25">
      <c r="A14" s="16" t="s">
        <v>14</v>
      </c>
      <c r="B14" s="27">
        <v>1485600</v>
      </c>
      <c r="C14" s="27">
        <v>1480300</v>
      </c>
      <c r="D14" s="31">
        <v>52.489360264811182</v>
      </c>
      <c r="E14" s="27">
        <v>77700</v>
      </c>
      <c r="F14" s="34">
        <v>2114.6309601567605</v>
      </c>
      <c r="G14" s="37"/>
      <c r="H14" s="37"/>
      <c r="I14" s="41"/>
      <c r="K14" s="35"/>
      <c r="L14" s="1"/>
    </row>
    <row r="15" spans="1:12" x14ac:dyDescent="0.2">
      <c r="A15" s="15" t="s">
        <v>15</v>
      </c>
      <c r="B15" s="24">
        <v>112200</v>
      </c>
      <c r="C15" s="25">
        <v>111634</v>
      </c>
      <c r="D15" s="30">
        <v>52.851281867531391</v>
      </c>
      <c r="E15" s="26">
        <v>5900</v>
      </c>
      <c r="F15" s="33">
        <v>160.57043326801656</v>
      </c>
      <c r="G15" s="36"/>
      <c r="H15" s="36"/>
      <c r="I15" s="40"/>
      <c r="K15" s="35"/>
    </row>
    <row r="16" spans="1:12" x14ac:dyDescent="0.2">
      <c r="A16" s="15" t="s">
        <v>16</v>
      </c>
      <c r="B16" s="24">
        <v>24900</v>
      </c>
      <c r="C16" s="25">
        <v>24774</v>
      </c>
      <c r="D16" s="30">
        <v>52.474368289335594</v>
      </c>
      <c r="E16" s="26">
        <v>1300</v>
      </c>
      <c r="F16" s="33">
        <v>35.379925974308733</v>
      </c>
      <c r="G16" s="36"/>
      <c r="H16" s="36"/>
      <c r="I16" s="40"/>
      <c r="K16" s="35"/>
    </row>
    <row r="17" spans="1:12" x14ac:dyDescent="0.2">
      <c r="A17" s="15" t="s">
        <v>17</v>
      </c>
      <c r="B17" s="24">
        <v>55100</v>
      </c>
      <c r="C17" s="25">
        <v>54822</v>
      </c>
      <c r="D17" s="30">
        <v>47.426215752799969</v>
      </c>
      <c r="E17" s="26">
        <v>2600</v>
      </c>
      <c r="F17" s="33">
        <v>70.759851948617467</v>
      </c>
      <c r="G17" s="36"/>
      <c r="H17" s="36"/>
      <c r="I17" s="40"/>
      <c r="K17" s="35"/>
    </row>
    <row r="18" spans="1:12" x14ac:dyDescent="0.2">
      <c r="A18" s="15" t="s">
        <v>18</v>
      </c>
      <c r="B18" s="24">
        <v>22500</v>
      </c>
      <c r="C18" s="25">
        <v>22387</v>
      </c>
      <c r="D18" s="30">
        <v>49.135659087863495</v>
      </c>
      <c r="E18" s="26">
        <v>1100</v>
      </c>
      <c r="F18" s="33">
        <v>29.936860439799695</v>
      </c>
      <c r="G18" s="36"/>
      <c r="H18" s="36"/>
      <c r="I18" s="40"/>
      <c r="K18" s="35"/>
    </row>
    <row r="19" spans="1:12" x14ac:dyDescent="0.2">
      <c r="A19" s="15" t="s">
        <v>19</v>
      </c>
      <c r="B19" s="24">
        <v>256600</v>
      </c>
      <c r="C19" s="25">
        <v>255306</v>
      </c>
      <c r="D19" s="30">
        <v>53.661096879822644</v>
      </c>
      <c r="E19" s="26">
        <v>13700</v>
      </c>
      <c r="F19" s="33">
        <v>372.84998911386896</v>
      </c>
      <c r="G19" s="36"/>
      <c r="H19" s="36"/>
      <c r="I19" s="40"/>
      <c r="K19" s="35"/>
    </row>
    <row r="20" spans="1:12" x14ac:dyDescent="0.2">
      <c r="A20" s="15" t="s">
        <v>20</v>
      </c>
      <c r="B20" s="24">
        <v>23700</v>
      </c>
      <c r="C20" s="25">
        <v>23581</v>
      </c>
      <c r="D20" s="30">
        <v>42.407022602943044</v>
      </c>
      <c r="E20" s="26">
        <v>1000</v>
      </c>
      <c r="F20" s="33">
        <v>27.215327672545179</v>
      </c>
      <c r="G20" s="36"/>
      <c r="H20" s="36"/>
      <c r="I20" s="40"/>
      <c r="K20" s="35"/>
    </row>
    <row r="21" spans="1:12" x14ac:dyDescent="0.2">
      <c r="A21" s="15" t="s">
        <v>21</v>
      </c>
      <c r="B21" s="24">
        <v>103700</v>
      </c>
      <c r="C21" s="25">
        <v>103177</v>
      </c>
      <c r="D21" s="30">
        <v>56.214078719094374</v>
      </c>
      <c r="E21" s="26">
        <v>5800</v>
      </c>
      <c r="F21" s="33">
        <v>157.84890050076203</v>
      </c>
      <c r="G21" s="36"/>
      <c r="H21" s="36"/>
      <c r="I21" s="40"/>
      <c r="K21" s="35"/>
    </row>
    <row r="22" spans="1:12" x14ac:dyDescent="0.2">
      <c r="A22" s="15" t="s">
        <v>22</v>
      </c>
      <c r="B22" s="24">
        <v>104800</v>
      </c>
      <c r="C22" s="25">
        <v>104272</v>
      </c>
      <c r="D22" s="30">
        <v>49.869571888905938</v>
      </c>
      <c r="E22" s="26">
        <v>5200</v>
      </c>
      <c r="F22" s="33">
        <v>141.51970389723493</v>
      </c>
      <c r="G22" s="36"/>
      <c r="H22" s="36"/>
      <c r="I22" s="40"/>
      <c r="K22" s="35"/>
    </row>
    <row r="23" spans="1:12" x14ac:dyDescent="0.2">
      <c r="A23" s="15" t="s">
        <v>23</v>
      </c>
      <c r="B23" s="24">
        <v>33900</v>
      </c>
      <c r="C23" s="25">
        <v>33729</v>
      </c>
      <c r="D23" s="30">
        <v>56.331346912152746</v>
      </c>
      <c r="E23" s="26">
        <v>1900</v>
      </c>
      <c r="F23" s="33">
        <v>51.709122577835835</v>
      </c>
      <c r="G23" s="36"/>
      <c r="H23" s="36"/>
      <c r="I23" s="40"/>
      <c r="K23" s="35"/>
    </row>
    <row r="24" spans="1:12" x14ac:dyDescent="0.2">
      <c r="A24" s="15" t="s">
        <v>24</v>
      </c>
      <c r="B24" s="24">
        <v>95700</v>
      </c>
      <c r="C24" s="25">
        <v>95218</v>
      </c>
      <c r="D24" s="30">
        <v>53.561301434602697</v>
      </c>
      <c r="E24" s="26">
        <v>5100</v>
      </c>
      <c r="F24" s="33">
        <v>138.7981711299804</v>
      </c>
      <c r="G24" s="36"/>
      <c r="H24" s="36"/>
      <c r="I24" s="40"/>
      <c r="K24" s="35"/>
    </row>
    <row r="25" spans="1:12" s="5" customFormat="1" ht="15" x14ac:dyDescent="0.25">
      <c r="A25" s="16" t="s">
        <v>25</v>
      </c>
      <c r="B25" s="27">
        <v>833100</v>
      </c>
      <c r="C25" s="27">
        <v>828900</v>
      </c>
      <c r="D25" s="31">
        <v>52.599831101459763</v>
      </c>
      <c r="E25" s="27">
        <v>43600</v>
      </c>
      <c r="F25" s="34">
        <v>1186.5882865229698</v>
      </c>
      <c r="G25" s="37"/>
      <c r="H25" s="37"/>
      <c r="I25" s="41"/>
      <c r="K25" s="35"/>
      <c r="L25" s="1"/>
    </row>
    <row r="26" spans="1:12" x14ac:dyDescent="0.2">
      <c r="A26" s="15" t="s">
        <v>26</v>
      </c>
      <c r="B26" s="24">
        <v>65000</v>
      </c>
      <c r="C26" s="25">
        <v>65000</v>
      </c>
      <c r="D26" s="30">
        <v>49.230769230769234</v>
      </c>
      <c r="E26" s="26">
        <v>3200</v>
      </c>
      <c r="F26" s="33">
        <v>87.089048552144575</v>
      </c>
      <c r="G26" s="36"/>
      <c r="H26" s="36"/>
      <c r="I26" s="40"/>
      <c r="K26" s="35"/>
    </row>
    <row r="27" spans="1:12" x14ac:dyDescent="0.2">
      <c r="A27" s="15" t="s">
        <v>27</v>
      </c>
      <c r="B27" s="44" t="s">
        <v>63</v>
      </c>
      <c r="C27" s="44" t="s">
        <v>63</v>
      </c>
      <c r="D27" s="44" t="s">
        <v>63</v>
      </c>
      <c r="E27" s="44" t="s">
        <v>63</v>
      </c>
      <c r="F27" s="44">
        <v>0</v>
      </c>
      <c r="G27" s="36"/>
      <c r="H27" s="36"/>
      <c r="I27" s="40"/>
      <c r="K27" s="35"/>
    </row>
    <row r="28" spans="1:12" x14ac:dyDescent="0.2">
      <c r="A28" s="15" t="s">
        <v>28</v>
      </c>
      <c r="B28" s="24">
        <v>25300</v>
      </c>
      <c r="C28" s="25">
        <v>25300</v>
      </c>
      <c r="D28" s="30">
        <v>43.478260869565219</v>
      </c>
      <c r="E28" s="26">
        <v>1100</v>
      </c>
      <c r="F28" s="33">
        <v>29.936860439799695</v>
      </c>
      <c r="G28" s="36"/>
      <c r="H28" s="36"/>
      <c r="I28" s="40"/>
      <c r="K28" s="35"/>
    </row>
    <row r="29" spans="1:12" x14ac:dyDescent="0.2">
      <c r="A29" s="15" t="s">
        <v>29</v>
      </c>
      <c r="B29" s="24">
        <v>45400</v>
      </c>
      <c r="C29" s="25">
        <v>45400</v>
      </c>
      <c r="D29" s="30">
        <v>46.255506607929512</v>
      </c>
      <c r="E29" s="26">
        <v>2100</v>
      </c>
      <c r="F29" s="33">
        <v>57.152188112344874</v>
      </c>
      <c r="G29" s="36"/>
      <c r="H29" s="36"/>
      <c r="I29" s="40"/>
      <c r="K29" s="35"/>
    </row>
    <row r="30" spans="1:12" x14ac:dyDescent="0.2">
      <c r="A30" s="15" t="s">
        <v>30</v>
      </c>
      <c r="B30" s="44" t="s">
        <v>63</v>
      </c>
      <c r="C30" s="44" t="s">
        <v>63</v>
      </c>
      <c r="D30" s="44" t="s">
        <v>63</v>
      </c>
      <c r="E30" s="44" t="s">
        <v>63</v>
      </c>
      <c r="F30" s="44">
        <v>0</v>
      </c>
      <c r="G30" s="36"/>
      <c r="H30" s="36"/>
      <c r="I30" s="40"/>
      <c r="K30" s="35"/>
    </row>
    <row r="31" spans="1:12" x14ac:dyDescent="0.2">
      <c r="A31" s="15" t="s">
        <v>31</v>
      </c>
      <c r="B31" s="24">
        <v>44000</v>
      </c>
      <c r="C31" s="25">
        <v>44000</v>
      </c>
      <c r="D31" s="30">
        <v>43.18181818181818</v>
      </c>
      <c r="E31" s="26">
        <v>1900</v>
      </c>
      <c r="F31" s="33">
        <v>51.709122577835835</v>
      </c>
      <c r="G31" s="36"/>
      <c r="H31" s="36"/>
      <c r="I31" s="40"/>
      <c r="K31" s="35"/>
    </row>
    <row r="32" spans="1:12" x14ac:dyDescent="0.2">
      <c r="A32" s="15" t="s">
        <v>32</v>
      </c>
      <c r="B32" s="44" t="s">
        <v>63</v>
      </c>
      <c r="C32" s="44" t="s">
        <v>63</v>
      </c>
      <c r="D32" s="44" t="s">
        <v>63</v>
      </c>
      <c r="E32" s="44" t="s">
        <v>63</v>
      </c>
      <c r="F32" s="44">
        <v>0</v>
      </c>
      <c r="G32" s="36"/>
      <c r="H32" s="36"/>
      <c r="I32" s="40"/>
      <c r="K32" s="35"/>
    </row>
    <row r="33" spans="1:12" x14ac:dyDescent="0.2">
      <c r="A33" s="15" t="s">
        <v>33</v>
      </c>
      <c r="B33" s="24">
        <v>20600</v>
      </c>
      <c r="C33" s="25">
        <v>20600</v>
      </c>
      <c r="D33" s="30">
        <v>38.834951456310677</v>
      </c>
      <c r="E33" s="26">
        <v>800</v>
      </c>
      <c r="F33" s="33">
        <v>21.772262138036144</v>
      </c>
      <c r="G33" s="36"/>
      <c r="H33" s="36"/>
      <c r="I33" s="40"/>
      <c r="K33" s="35"/>
    </row>
    <row r="34" spans="1:12" x14ac:dyDescent="0.2">
      <c r="A34" s="15" t="s">
        <v>34</v>
      </c>
      <c r="B34" s="24">
        <v>18900</v>
      </c>
      <c r="C34" s="25">
        <v>18900</v>
      </c>
      <c r="D34" s="30">
        <v>42.328042328042329</v>
      </c>
      <c r="E34" s="26">
        <v>800</v>
      </c>
      <c r="F34" s="33">
        <v>21.772262138036144</v>
      </c>
      <c r="G34" s="36"/>
      <c r="H34" s="36"/>
      <c r="I34" s="40"/>
      <c r="K34" s="35"/>
    </row>
    <row r="35" spans="1:12" x14ac:dyDescent="0.2">
      <c r="A35" s="15" t="s">
        <v>35</v>
      </c>
      <c r="B35" s="24">
        <v>19200</v>
      </c>
      <c r="C35" s="25">
        <v>19200</v>
      </c>
      <c r="D35" s="30">
        <v>46.979166666666671</v>
      </c>
      <c r="E35" s="26">
        <v>902</v>
      </c>
      <c r="F35" s="33">
        <v>24.54822556063575</v>
      </c>
      <c r="G35" s="36"/>
      <c r="H35" s="36"/>
      <c r="I35" s="40"/>
      <c r="K35" s="35"/>
    </row>
    <row r="36" spans="1:12" s="5" customFormat="1" ht="15" x14ac:dyDescent="0.25">
      <c r="A36" s="16" t="s">
        <v>36</v>
      </c>
      <c r="B36" s="27">
        <v>245500</v>
      </c>
      <c r="C36" s="27">
        <v>245500</v>
      </c>
      <c r="D36" s="31">
        <v>45.547861507128303</v>
      </c>
      <c r="E36" s="27">
        <v>11182</v>
      </c>
      <c r="F36" s="34">
        <v>304.32179403440017</v>
      </c>
      <c r="G36" s="37"/>
      <c r="H36" s="37"/>
      <c r="I36" s="41"/>
      <c r="K36" s="35"/>
      <c r="L36" s="1"/>
    </row>
    <row r="37" spans="1:12" x14ac:dyDescent="0.2">
      <c r="A37" s="15" t="s">
        <v>37</v>
      </c>
      <c r="B37" s="24">
        <v>12600</v>
      </c>
      <c r="C37" s="25">
        <v>12450</v>
      </c>
      <c r="D37" s="30">
        <v>37.188755020080322</v>
      </c>
      <c r="E37" s="26">
        <v>463</v>
      </c>
      <c r="F37" s="33">
        <v>12.600696712388418</v>
      </c>
      <c r="G37" s="36"/>
      <c r="H37" s="36"/>
      <c r="I37" s="40"/>
      <c r="K37" s="35"/>
    </row>
    <row r="38" spans="1:12" x14ac:dyDescent="0.2">
      <c r="A38" s="15" t="s">
        <v>38</v>
      </c>
      <c r="B38" s="24">
        <v>19500</v>
      </c>
      <c r="C38" s="25">
        <v>19268</v>
      </c>
      <c r="D38" s="30">
        <v>49.875441145941458</v>
      </c>
      <c r="E38" s="26">
        <v>961</v>
      </c>
      <c r="F38" s="33">
        <v>26.153929893315915</v>
      </c>
      <c r="G38" s="36"/>
      <c r="H38" s="36"/>
      <c r="I38" s="40"/>
      <c r="K38" s="35"/>
    </row>
    <row r="39" spans="1:12" x14ac:dyDescent="0.2">
      <c r="A39" s="15" t="s">
        <v>39</v>
      </c>
      <c r="B39" s="24">
        <v>37700</v>
      </c>
      <c r="C39" s="25">
        <v>37251</v>
      </c>
      <c r="D39" s="30">
        <v>45.018925666425062</v>
      </c>
      <c r="E39" s="26">
        <v>1677</v>
      </c>
      <c r="F39" s="33">
        <v>45.640104506858265</v>
      </c>
      <c r="G39" s="36"/>
      <c r="H39" s="36"/>
      <c r="I39" s="40"/>
      <c r="K39" s="35"/>
    </row>
    <row r="40" spans="1:12" x14ac:dyDescent="0.2">
      <c r="A40" s="15" t="s">
        <v>40</v>
      </c>
      <c r="B40" s="24">
        <v>12400</v>
      </c>
      <c r="C40" s="25">
        <v>12252</v>
      </c>
      <c r="D40" s="30">
        <v>45.625204048318643</v>
      </c>
      <c r="E40" s="26">
        <v>559</v>
      </c>
      <c r="F40" s="33">
        <v>15.213368168952755</v>
      </c>
      <c r="G40" s="36"/>
      <c r="H40" s="36"/>
      <c r="I40" s="40"/>
      <c r="K40" s="35"/>
    </row>
    <row r="41" spans="1:12" x14ac:dyDescent="0.2">
      <c r="A41" s="15" t="s">
        <v>41</v>
      </c>
      <c r="B41" s="24">
        <v>75500</v>
      </c>
      <c r="C41" s="25">
        <v>74600</v>
      </c>
      <c r="D41" s="30">
        <v>52.211796246648795</v>
      </c>
      <c r="E41" s="26">
        <v>3895</v>
      </c>
      <c r="F41" s="33">
        <v>106.00370128456346</v>
      </c>
      <c r="G41" s="36"/>
      <c r="H41" s="36"/>
      <c r="I41" s="40"/>
      <c r="K41" s="35"/>
    </row>
    <row r="42" spans="1:12" x14ac:dyDescent="0.2">
      <c r="A42" s="15" t="s">
        <v>42</v>
      </c>
      <c r="B42" s="24">
        <v>110000</v>
      </c>
      <c r="C42" s="25">
        <v>108689</v>
      </c>
      <c r="D42" s="30">
        <v>48.588173596224088</v>
      </c>
      <c r="E42" s="26">
        <v>5281</v>
      </c>
      <c r="F42" s="33">
        <v>143.72414543871108</v>
      </c>
      <c r="G42" s="36"/>
      <c r="H42" s="36"/>
      <c r="I42" s="40"/>
      <c r="K42" s="35"/>
    </row>
    <row r="43" spans="1:12" x14ac:dyDescent="0.2">
      <c r="A43" s="15" t="s">
        <v>43</v>
      </c>
      <c r="B43" s="24">
        <v>29300</v>
      </c>
      <c r="C43" s="25">
        <v>28951</v>
      </c>
      <c r="D43" s="30">
        <v>46.388725778038754</v>
      </c>
      <c r="E43" s="26">
        <v>1343</v>
      </c>
      <c r="F43" s="33">
        <v>36.550185064228174</v>
      </c>
      <c r="G43" s="36"/>
      <c r="H43" s="36"/>
      <c r="I43" s="40"/>
      <c r="K43" s="35"/>
    </row>
    <row r="44" spans="1:12" x14ac:dyDescent="0.2">
      <c r="A44" s="15" t="s">
        <v>44</v>
      </c>
      <c r="B44" s="24">
        <v>139200</v>
      </c>
      <c r="C44" s="25">
        <v>137541</v>
      </c>
      <c r="D44" s="30">
        <v>49.53432067528955</v>
      </c>
      <c r="E44" s="26">
        <v>6813</v>
      </c>
      <c r="F44" s="33">
        <v>185.4180274330503</v>
      </c>
      <c r="G44" s="36"/>
      <c r="H44" s="36"/>
      <c r="I44" s="40"/>
      <c r="K44" s="35"/>
    </row>
    <row r="45" spans="1:12" s="5" customFormat="1" ht="15" x14ac:dyDescent="0.25">
      <c r="A45" s="16" t="s">
        <v>45</v>
      </c>
      <c r="B45" s="27">
        <v>436200</v>
      </c>
      <c r="C45" s="27">
        <v>431002</v>
      </c>
      <c r="D45" s="31">
        <v>48.705110417121034</v>
      </c>
      <c r="E45" s="27">
        <v>20992</v>
      </c>
      <c r="F45" s="34">
        <v>571.30415850206839</v>
      </c>
      <c r="G45" s="37"/>
      <c r="H45" s="37"/>
      <c r="I45" s="41"/>
      <c r="K45" s="35"/>
      <c r="L45" s="1"/>
    </row>
    <row r="46" spans="1:12" x14ac:dyDescent="0.2">
      <c r="A46" s="15" t="s">
        <v>46</v>
      </c>
      <c r="B46" s="44">
        <v>700</v>
      </c>
      <c r="C46" s="44">
        <v>697</v>
      </c>
      <c r="D46" s="44">
        <v>0</v>
      </c>
      <c r="E46" s="44">
        <v>0</v>
      </c>
      <c r="F46" s="44">
        <v>0</v>
      </c>
      <c r="G46" s="36"/>
      <c r="H46" s="36"/>
      <c r="I46" s="40"/>
      <c r="K46" s="35"/>
    </row>
    <row r="47" spans="1:12" x14ac:dyDescent="0.2">
      <c r="A47" s="15" t="s">
        <v>47</v>
      </c>
      <c r="B47" s="44" t="s">
        <v>63</v>
      </c>
      <c r="C47" s="44" t="s">
        <v>63</v>
      </c>
      <c r="D47" s="44" t="s">
        <v>63</v>
      </c>
      <c r="E47" s="44" t="s">
        <v>63</v>
      </c>
      <c r="F47" s="44">
        <v>0</v>
      </c>
      <c r="G47" s="36"/>
      <c r="H47" s="36"/>
      <c r="I47" s="40"/>
      <c r="K47" s="35"/>
    </row>
    <row r="48" spans="1:12" x14ac:dyDescent="0.2">
      <c r="A48" s="17" t="s">
        <v>48</v>
      </c>
      <c r="B48" s="44" t="s">
        <v>63</v>
      </c>
      <c r="C48" s="44" t="s">
        <v>63</v>
      </c>
      <c r="D48" s="44" t="s">
        <v>63</v>
      </c>
      <c r="E48" s="44" t="s">
        <v>63</v>
      </c>
      <c r="F48" s="44">
        <v>0</v>
      </c>
      <c r="G48" s="36"/>
      <c r="H48" s="36"/>
      <c r="I48" s="40"/>
      <c r="K48" s="35"/>
    </row>
    <row r="49" spans="1:12" x14ac:dyDescent="0.2">
      <c r="A49" s="15" t="s">
        <v>49</v>
      </c>
      <c r="B49" s="44" t="s">
        <v>63</v>
      </c>
      <c r="C49" s="44" t="s">
        <v>63</v>
      </c>
      <c r="D49" s="44" t="s">
        <v>63</v>
      </c>
      <c r="E49" s="44" t="s">
        <v>63</v>
      </c>
      <c r="F49" s="44">
        <v>0</v>
      </c>
      <c r="G49" s="36"/>
      <c r="H49" s="36"/>
      <c r="I49" s="40"/>
      <c r="K49" s="35"/>
    </row>
    <row r="50" spans="1:12" x14ac:dyDescent="0.2">
      <c r="A50" s="15" t="s">
        <v>50</v>
      </c>
      <c r="B50" s="44">
        <v>500</v>
      </c>
      <c r="C50" s="44">
        <v>498</v>
      </c>
      <c r="D50" s="44">
        <v>34.1</v>
      </c>
      <c r="E50" s="44">
        <v>17</v>
      </c>
      <c r="F50" s="33">
        <f>+E50/36.744</f>
        <v>0.46266057043326803</v>
      </c>
      <c r="G50" s="36"/>
      <c r="H50" s="36"/>
      <c r="I50" s="40"/>
      <c r="K50" s="35"/>
    </row>
    <row r="51" spans="1:12" x14ac:dyDescent="0.2">
      <c r="A51" s="15" t="s">
        <v>51</v>
      </c>
      <c r="B51" s="26">
        <v>3600</v>
      </c>
      <c r="C51" s="25">
        <v>3582</v>
      </c>
      <c r="D51" s="30">
        <v>42.992741485203794</v>
      </c>
      <c r="E51" s="26">
        <v>154</v>
      </c>
      <c r="F51" s="33">
        <f>+E51/36.744</f>
        <v>4.1911604615719575</v>
      </c>
      <c r="G51" s="36"/>
      <c r="H51" s="36"/>
      <c r="I51" s="40"/>
      <c r="K51" s="35"/>
    </row>
    <row r="52" spans="1:12" x14ac:dyDescent="0.2">
      <c r="A52" s="15" t="s">
        <v>52</v>
      </c>
      <c r="B52" s="26">
        <v>3500</v>
      </c>
      <c r="C52" s="25">
        <v>3483</v>
      </c>
      <c r="D52" s="30">
        <v>46.511627906976742</v>
      </c>
      <c r="E52" s="26">
        <v>162</v>
      </c>
      <c r="F52" s="33">
        <v>4.4088830829523191</v>
      </c>
      <c r="G52" s="36"/>
      <c r="H52" s="36"/>
      <c r="I52" s="40"/>
      <c r="K52" s="35"/>
    </row>
    <row r="53" spans="1:12" x14ac:dyDescent="0.2">
      <c r="A53" s="15" t="s">
        <v>53</v>
      </c>
      <c r="B53" s="44">
        <v>100</v>
      </c>
      <c r="C53" s="44">
        <v>100</v>
      </c>
      <c r="D53" s="44">
        <v>0</v>
      </c>
      <c r="E53" s="44">
        <v>0</v>
      </c>
      <c r="F53" s="44">
        <v>0</v>
      </c>
      <c r="G53" s="36"/>
      <c r="H53" s="36"/>
      <c r="I53" s="40"/>
      <c r="K53" s="35"/>
    </row>
    <row r="54" spans="1:12" x14ac:dyDescent="0.2">
      <c r="A54" s="15" t="s">
        <v>54</v>
      </c>
      <c r="B54" s="44">
        <v>600</v>
      </c>
      <c r="C54" s="44">
        <v>597</v>
      </c>
      <c r="D54" s="44">
        <v>0</v>
      </c>
      <c r="E54" s="44">
        <v>0</v>
      </c>
      <c r="F54" s="44">
        <v>0</v>
      </c>
      <c r="G54" s="36"/>
      <c r="H54" s="36"/>
      <c r="I54" s="40"/>
      <c r="K54" s="35"/>
    </row>
    <row r="55" spans="1:12" x14ac:dyDescent="0.2">
      <c r="A55" s="15" t="s">
        <v>55</v>
      </c>
      <c r="B55" s="24">
        <v>9900</v>
      </c>
      <c r="C55" s="25">
        <v>9851</v>
      </c>
      <c r="D55" s="30">
        <v>43.954928433661557</v>
      </c>
      <c r="E55" s="26">
        <v>433</v>
      </c>
      <c r="F55" s="33">
        <v>11.784236882212062</v>
      </c>
      <c r="G55" s="36"/>
      <c r="H55" s="36"/>
      <c r="I55" s="40"/>
      <c r="K55" s="35"/>
    </row>
    <row r="56" spans="1:12" s="5" customFormat="1" ht="15" x14ac:dyDescent="0.25">
      <c r="A56" s="16" t="s">
        <v>56</v>
      </c>
      <c r="B56" s="27">
        <v>19500</v>
      </c>
      <c r="C56" s="27">
        <v>19300</v>
      </c>
      <c r="D56" s="31">
        <v>42.331606217616581</v>
      </c>
      <c r="E56" s="27">
        <v>817</v>
      </c>
      <c r="F56" s="34">
        <v>22.234922708469409</v>
      </c>
      <c r="G56" s="37"/>
      <c r="H56" s="37"/>
      <c r="I56" s="41"/>
      <c r="K56" s="35"/>
      <c r="L56" s="1"/>
    </row>
    <row r="57" spans="1:12" s="5" customFormat="1" ht="15.75" thickBot="1" x14ac:dyDescent="0.3">
      <c r="A57" s="18" t="s">
        <v>0</v>
      </c>
      <c r="B57" s="27">
        <v>3020000</v>
      </c>
      <c r="C57" s="28">
        <v>3005000</v>
      </c>
      <c r="D57" s="31">
        <v>51.361397670549081</v>
      </c>
      <c r="E57" s="29">
        <v>154341</v>
      </c>
      <c r="F57" s="34">
        <v>4200.4408883082951</v>
      </c>
      <c r="G57" s="37"/>
      <c r="H57" s="37"/>
      <c r="I57" s="41"/>
      <c r="K57" s="35"/>
      <c r="L57" s="1"/>
    </row>
    <row r="58" spans="1:12" s="5" customFormat="1" ht="15" x14ac:dyDescent="0.25">
      <c r="B58" s="6"/>
      <c r="C58" s="6"/>
      <c r="D58" s="6"/>
      <c r="E58" s="6"/>
      <c r="F58" s="6"/>
      <c r="I58" s="42"/>
    </row>
    <row r="59" spans="1:12" s="9" customFormat="1" x14ac:dyDescent="0.2">
      <c r="A59" s="8"/>
      <c r="B59" s="19"/>
      <c r="C59" s="19"/>
      <c r="D59" s="20"/>
      <c r="E59" s="20"/>
      <c r="F59" s="19"/>
      <c r="I59" s="43"/>
    </row>
    <row r="60" spans="1:12" ht="210.75" customHeight="1" x14ac:dyDescent="0.2">
      <c r="A60" s="23" t="s">
        <v>58</v>
      </c>
      <c r="B60" s="23"/>
      <c r="C60" s="23"/>
      <c r="D60" s="23"/>
      <c r="E60" s="23"/>
      <c r="F60" s="23"/>
    </row>
    <row r="61" spans="1:12" ht="15" x14ac:dyDescent="0.25">
      <c r="A61" s="10" t="s">
        <v>60</v>
      </c>
      <c r="B61" s="3"/>
      <c r="C61" s="3"/>
      <c r="D61" s="4"/>
      <c r="E61" s="4"/>
      <c r="F61" s="3"/>
    </row>
    <row r="62" spans="1:12" x14ac:dyDescent="0.2">
      <c r="A62" s="45" t="s">
        <v>62</v>
      </c>
      <c r="B62" s="3"/>
      <c r="C62" s="3"/>
      <c r="D62" s="4"/>
      <c r="E62" s="4"/>
      <c r="F62" s="3"/>
    </row>
    <row r="63" spans="1:12" x14ac:dyDescent="0.2">
      <c r="A63" s="2"/>
      <c r="B63" s="3"/>
      <c r="C63" s="3"/>
      <c r="D63" s="4"/>
      <c r="E63" s="4"/>
      <c r="F63" s="3"/>
    </row>
    <row r="64" spans="1:12" x14ac:dyDescent="0.2">
      <c r="A64" s="2"/>
      <c r="B64" s="3"/>
      <c r="C64" s="3"/>
      <c r="D64" s="4"/>
      <c r="E64" s="4"/>
      <c r="F64" s="3"/>
    </row>
    <row r="65" spans="1:6" x14ac:dyDescent="0.2">
      <c r="A65" s="2"/>
      <c r="B65" s="3"/>
      <c r="C65" s="3"/>
      <c r="D65" s="4"/>
      <c r="E65" s="4"/>
      <c r="F65" s="3"/>
    </row>
    <row r="66" spans="1:6" x14ac:dyDescent="0.2">
      <c r="A66" s="2"/>
      <c r="B66" s="3"/>
      <c r="C66" s="3"/>
      <c r="D66" s="4"/>
      <c r="E66" s="4"/>
      <c r="F66" s="3"/>
    </row>
    <row r="67" spans="1:6" x14ac:dyDescent="0.2">
      <c r="A67" s="2"/>
      <c r="B67" s="3"/>
      <c r="C67" s="3"/>
      <c r="D67" s="4"/>
      <c r="E67" s="4"/>
      <c r="F67" s="3"/>
    </row>
    <row r="68" spans="1:6" x14ac:dyDescent="0.2">
      <c r="A68" s="2"/>
      <c r="B68" s="3"/>
      <c r="C68" s="3"/>
      <c r="D68" s="4"/>
      <c r="E68" s="4"/>
      <c r="F68" s="3"/>
    </row>
    <row r="69" spans="1:6" x14ac:dyDescent="0.2">
      <c r="A69" s="2"/>
      <c r="B69" s="3"/>
      <c r="C69" s="3"/>
      <c r="D69" s="4"/>
      <c r="E69" s="4"/>
      <c r="F69" s="3"/>
    </row>
    <row r="70" spans="1:6" x14ac:dyDescent="0.2">
      <c r="A70" s="2"/>
      <c r="B70" s="3"/>
      <c r="C70" s="3"/>
      <c r="D70" s="4"/>
      <c r="E70" s="4"/>
      <c r="F70" s="3"/>
    </row>
    <row r="71" spans="1:6" x14ac:dyDescent="0.2">
      <c r="A71" s="2"/>
      <c r="B71" s="3"/>
      <c r="C71" s="3"/>
      <c r="D71" s="4"/>
      <c r="E71" s="4"/>
      <c r="F71" s="3"/>
    </row>
    <row r="72" spans="1:6" x14ac:dyDescent="0.2">
      <c r="A72" s="2"/>
      <c r="B72" s="3"/>
      <c r="C72" s="3"/>
      <c r="D72" s="4"/>
      <c r="E72" s="4"/>
      <c r="F72" s="3"/>
    </row>
    <row r="73" spans="1:6" x14ac:dyDescent="0.2">
      <c r="A73" s="2"/>
      <c r="B73" s="3"/>
      <c r="C73" s="3"/>
      <c r="D73" s="4"/>
      <c r="E73" s="4"/>
      <c r="F73" s="3"/>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c r="B83" s="2"/>
      <c r="C83" s="2"/>
      <c r="D83" s="2"/>
      <c r="E83" s="2"/>
      <c r="F83" s="2"/>
    </row>
    <row r="84" spans="1:6" x14ac:dyDescent="0.2">
      <c r="A84" s="2"/>
    </row>
    <row r="85" spans="1:6" x14ac:dyDescent="0.2">
      <c r="A85" s="2"/>
    </row>
    <row r="86" spans="1:6" x14ac:dyDescent="0.2">
      <c r="A86" s="2"/>
    </row>
    <row r="87" spans="1:6" x14ac:dyDescent="0.2">
      <c r="A87" s="2"/>
    </row>
    <row r="88" spans="1:6" x14ac:dyDescent="0.2">
      <c r="A88" s="2"/>
    </row>
  </sheetData>
  <phoneticPr fontId="4" type="noConversion"/>
  <pageMargins left="0.25" right="0.25" top="0.25" bottom="0.182" header="0.5" footer="0.5"/>
  <pageSetup scale="6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01804-7F18-4004-B275-9121F7876131}">
  <dimension ref="A1:L87"/>
  <sheetViews>
    <sheetView workbookViewId="0">
      <selection sqref="A1:F1048576"/>
    </sheetView>
  </sheetViews>
  <sheetFormatPr defaultColWidth="9.77734375" defaultRowHeight="14.25" x14ac:dyDescent="0.2"/>
  <cols>
    <col min="1" max="1" width="34.5546875" style="1" customWidth="1"/>
    <col min="2" max="2" width="13.77734375" style="1" customWidth="1"/>
    <col min="3" max="3" width="13.109375" style="1" customWidth="1"/>
    <col min="4" max="5" width="15.33203125" style="1" customWidth="1"/>
    <col min="6" max="6" width="14.6640625" style="1" customWidth="1"/>
    <col min="7" max="8" width="11.33203125" style="1" bestFit="1" customWidth="1"/>
    <col min="9" max="9" width="13.109375" style="38" bestFit="1" customWidth="1"/>
    <col min="10" max="10" width="9.77734375" style="1"/>
    <col min="11" max="11" width="11" style="1" customWidth="1"/>
    <col min="12" max="256" width="9.77734375" style="1"/>
    <col min="257" max="257" width="34.5546875" style="1" customWidth="1"/>
    <col min="258" max="258" width="13.77734375" style="1" customWidth="1"/>
    <col min="259" max="259" width="13.109375" style="1" customWidth="1"/>
    <col min="260" max="261" width="15.33203125" style="1" customWidth="1"/>
    <col min="262" max="262" width="14.6640625" style="1" customWidth="1"/>
    <col min="263" max="264" width="11.33203125" style="1" bestFit="1" customWidth="1"/>
    <col min="265" max="265" width="13.109375" style="1" bestFit="1" customWidth="1"/>
    <col min="266" max="266" width="9.77734375" style="1"/>
    <col min="267" max="267" width="11" style="1" customWidth="1"/>
    <col min="268" max="512" width="9.77734375" style="1"/>
    <col min="513" max="513" width="34.5546875" style="1" customWidth="1"/>
    <col min="514" max="514" width="13.77734375" style="1" customWidth="1"/>
    <col min="515" max="515" width="13.109375" style="1" customWidth="1"/>
    <col min="516" max="517" width="15.33203125" style="1" customWidth="1"/>
    <col min="518" max="518" width="14.6640625" style="1" customWidth="1"/>
    <col min="519" max="520" width="11.33203125" style="1" bestFit="1" customWidth="1"/>
    <col min="521" max="521" width="13.109375" style="1" bestFit="1" customWidth="1"/>
    <col min="522" max="522" width="9.77734375" style="1"/>
    <col min="523" max="523" width="11" style="1" customWidth="1"/>
    <col min="524" max="768" width="9.77734375" style="1"/>
    <col min="769" max="769" width="34.5546875" style="1" customWidth="1"/>
    <col min="770" max="770" width="13.77734375" style="1" customWidth="1"/>
    <col min="771" max="771" width="13.109375" style="1" customWidth="1"/>
    <col min="772" max="773" width="15.33203125" style="1" customWidth="1"/>
    <col min="774" max="774" width="14.6640625" style="1" customWidth="1"/>
    <col min="775" max="776" width="11.33203125" style="1" bestFit="1" customWidth="1"/>
    <col min="777" max="777" width="13.109375" style="1" bestFit="1" customWidth="1"/>
    <col min="778" max="778" width="9.77734375" style="1"/>
    <col min="779" max="779" width="11" style="1" customWidth="1"/>
    <col min="780" max="1024" width="9.77734375" style="1"/>
    <col min="1025" max="1025" width="34.5546875" style="1" customWidth="1"/>
    <col min="1026" max="1026" width="13.77734375" style="1" customWidth="1"/>
    <col min="1027" max="1027" width="13.109375" style="1" customWidth="1"/>
    <col min="1028" max="1029" width="15.33203125" style="1" customWidth="1"/>
    <col min="1030" max="1030" width="14.6640625" style="1" customWidth="1"/>
    <col min="1031" max="1032" width="11.33203125" style="1" bestFit="1" customWidth="1"/>
    <col min="1033" max="1033" width="13.109375" style="1" bestFit="1" customWidth="1"/>
    <col min="1034" max="1034" width="9.77734375" style="1"/>
    <col min="1035" max="1035" width="11" style="1" customWidth="1"/>
    <col min="1036" max="1280" width="9.77734375" style="1"/>
    <col min="1281" max="1281" width="34.5546875" style="1" customWidth="1"/>
    <col min="1282" max="1282" width="13.77734375" style="1" customWidth="1"/>
    <col min="1283" max="1283" width="13.109375" style="1" customWidth="1"/>
    <col min="1284" max="1285" width="15.33203125" style="1" customWidth="1"/>
    <col min="1286" max="1286" width="14.6640625" style="1" customWidth="1"/>
    <col min="1287" max="1288" width="11.33203125" style="1" bestFit="1" customWidth="1"/>
    <col min="1289" max="1289" width="13.109375" style="1" bestFit="1" customWidth="1"/>
    <col min="1290" max="1290" width="9.77734375" style="1"/>
    <col min="1291" max="1291" width="11" style="1" customWidth="1"/>
    <col min="1292" max="1536" width="9.77734375" style="1"/>
    <col min="1537" max="1537" width="34.5546875" style="1" customWidth="1"/>
    <col min="1538" max="1538" width="13.77734375" style="1" customWidth="1"/>
    <col min="1539" max="1539" width="13.109375" style="1" customWidth="1"/>
    <col min="1540" max="1541" width="15.33203125" style="1" customWidth="1"/>
    <col min="1542" max="1542" width="14.6640625" style="1" customWidth="1"/>
    <col min="1543" max="1544" width="11.33203125" style="1" bestFit="1" customWidth="1"/>
    <col min="1545" max="1545" width="13.109375" style="1" bestFit="1" customWidth="1"/>
    <col min="1546" max="1546" width="9.77734375" style="1"/>
    <col min="1547" max="1547" width="11" style="1" customWidth="1"/>
    <col min="1548" max="1792" width="9.77734375" style="1"/>
    <col min="1793" max="1793" width="34.5546875" style="1" customWidth="1"/>
    <col min="1794" max="1794" width="13.77734375" style="1" customWidth="1"/>
    <col min="1795" max="1795" width="13.109375" style="1" customWidth="1"/>
    <col min="1796" max="1797" width="15.33203125" style="1" customWidth="1"/>
    <col min="1798" max="1798" width="14.6640625" style="1" customWidth="1"/>
    <col min="1799" max="1800" width="11.33203125" style="1" bestFit="1" customWidth="1"/>
    <col min="1801" max="1801" width="13.109375" style="1" bestFit="1" customWidth="1"/>
    <col min="1802" max="1802" width="9.77734375" style="1"/>
    <col min="1803" max="1803" width="11" style="1" customWidth="1"/>
    <col min="1804" max="2048" width="9.77734375" style="1"/>
    <col min="2049" max="2049" width="34.5546875" style="1" customWidth="1"/>
    <col min="2050" max="2050" width="13.77734375" style="1" customWidth="1"/>
    <col min="2051" max="2051" width="13.109375" style="1" customWidth="1"/>
    <col min="2052" max="2053" width="15.33203125" style="1" customWidth="1"/>
    <col min="2054" max="2054" width="14.6640625" style="1" customWidth="1"/>
    <col min="2055" max="2056" width="11.33203125" style="1" bestFit="1" customWidth="1"/>
    <col min="2057" max="2057" width="13.109375" style="1" bestFit="1" customWidth="1"/>
    <col min="2058" max="2058" width="9.77734375" style="1"/>
    <col min="2059" max="2059" width="11" style="1" customWidth="1"/>
    <col min="2060" max="2304" width="9.77734375" style="1"/>
    <col min="2305" max="2305" width="34.5546875" style="1" customWidth="1"/>
    <col min="2306" max="2306" width="13.77734375" style="1" customWidth="1"/>
    <col min="2307" max="2307" width="13.109375" style="1" customWidth="1"/>
    <col min="2308" max="2309" width="15.33203125" style="1" customWidth="1"/>
    <col min="2310" max="2310" width="14.6640625" style="1" customWidth="1"/>
    <col min="2311" max="2312" width="11.33203125" style="1" bestFit="1" customWidth="1"/>
    <col min="2313" max="2313" width="13.109375" style="1" bestFit="1" customWidth="1"/>
    <col min="2314" max="2314" width="9.77734375" style="1"/>
    <col min="2315" max="2315" width="11" style="1" customWidth="1"/>
    <col min="2316" max="2560" width="9.77734375" style="1"/>
    <col min="2561" max="2561" width="34.5546875" style="1" customWidth="1"/>
    <col min="2562" max="2562" width="13.77734375" style="1" customWidth="1"/>
    <col min="2563" max="2563" width="13.109375" style="1" customWidth="1"/>
    <col min="2564" max="2565" width="15.33203125" style="1" customWidth="1"/>
    <col min="2566" max="2566" width="14.6640625" style="1" customWidth="1"/>
    <col min="2567" max="2568" width="11.33203125" style="1" bestFit="1" customWidth="1"/>
    <col min="2569" max="2569" width="13.109375" style="1" bestFit="1" customWidth="1"/>
    <col min="2570" max="2570" width="9.77734375" style="1"/>
    <col min="2571" max="2571" width="11" style="1" customWidth="1"/>
    <col min="2572" max="2816" width="9.77734375" style="1"/>
    <col min="2817" max="2817" width="34.5546875" style="1" customWidth="1"/>
    <col min="2818" max="2818" width="13.77734375" style="1" customWidth="1"/>
    <col min="2819" max="2819" width="13.109375" style="1" customWidth="1"/>
    <col min="2820" max="2821" width="15.33203125" style="1" customWidth="1"/>
    <col min="2822" max="2822" width="14.6640625" style="1" customWidth="1"/>
    <col min="2823" max="2824" width="11.33203125" style="1" bestFit="1" customWidth="1"/>
    <col min="2825" max="2825" width="13.109375" style="1" bestFit="1" customWidth="1"/>
    <col min="2826" max="2826" width="9.77734375" style="1"/>
    <col min="2827" max="2827" width="11" style="1" customWidth="1"/>
    <col min="2828" max="3072" width="9.77734375" style="1"/>
    <col min="3073" max="3073" width="34.5546875" style="1" customWidth="1"/>
    <col min="3074" max="3074" width="13.77734375" style="1" customWidth="1"/>
    <col min="3075" max="3075" width="13.109375" style="1" customWidth="1"/>
    <col min="3076" max="3077" width="15.33203125" style="1" customWidth="1"/>
    <col min="3078" max="3078" width="14.6640625" style="1" customWidth="1"/>
    <col min="3079" max="3080" width="11.33203125" style="1" bestFit="1" customWidth="1"/>
    <col min="3081" max="3081" width="13.109375" style="1" bestFit="1" customWidth="1"/>
    <col min="3082" max="3082" width="9.77734375" style="1"/>
    <col min="3083" max="3083" width="11" style="1" customWidth="1"/>
    <col min="3084" max="3328" width="9.77734375" style="1"/>
    <col min="3329" max="3329" width="34.5546875" style="1" customWidth="1"/>
    <col min="3330" max="3330" width="13.77734375" style="1" customWidth="1"/>
    <col min="3331" max="3331" width="13.109375" style="1" customWidth="1"/>
    <col min="3332" max="3333" width="15.33203125" style="1" customWidth="1"/>
    <col min="3334" max="3334" width="14.6640625" style="1" customWidth="1"/>
    <col min="3335" max="3336" width="11.33203125" style="1" bestFit="1" customWidth="1"/>
    <col min="3337" max="3337" width="13.109375" style="1" bestFit="1" customWidth="1"/>
    <col min="3338" max="3338" width="9.77734375" style="1"/>
    <col min="3339" max="3339" width="11" style="1" customWidth="1"/>
    <col min="3340" max="3584" width="9.77734375" style="1"/>
    <col min="3585" max="3585" width="34.5546875" style="1" customWidth="1"/>
    <col min="3586" max="3586" width="13.77734375" style="1" customWidth="1"/>
    <col min="3587" max="3587" width="13.109375" style="1" customWidth="1"/>
    <col min="3588" max="3589" width="15.33203125" style="1" customWidth="1"/>
    <col min="3590" max="3590" width="14.6640625" style="1" customWidth="1"/>
    <col min="3591" max="3592" width="11.33203125" style="1" bestFit="1" customWidth="1"/>
    <col min="3593" max="3593" width="13.109375" style="1" bestFit="1" customWidth="1"/>
    <col min="3594" max="3594" width="9.77734375" style="1"/>
    <col min="3595" max="3595" width="11" style="1" customWidth="1"/>
    <col min="3596" max="3840" width="9.77734375" style="1"/>
    <col min="3841" max="3841" width="34.5546875" style="1" customWidth="1"/>
    <col min="3842" max="3842" width="13.77734375" style="1" customWidth="1"/>
    <col min="3843" max="3843" width="13.109375" style="1" customWidth="1"/>
    <col min="3844" max="3845" width="15.33203125" style="1" customWidth="1"/>
    <col min="3846" max="3846" width="14.6640625" style="1" customWidth="1"/>
    <col min="3847" max="3848" width="11.33203125" style="1" bestFit="1" customWidth="1"/>
    <col min="3849" max="3849" width="13.109375" style="1" bestFit="1" customWidth="1"/>
    <col min="3850" max="3850" width="9.77734375" style="1"/>
    <col min="3851" max="3851" width="11" style="1" customWidth="1"/>
    <col min="3852" max="4096" width="9.77734375" style="1"/>
    <col min="4097" max="4097" width="34.5546875" style="1" customWidth="1"/>
    <col min="4098" max="4098" width="13.77734375" style="1" customWidth="1"/>
    <col min="4099" max="4099" width="13.109375" style="1" customWidth="1"/>
    <col min="4100" max="4101" width="15.33203125" style="1" customWidth="1"/>
    <col min="4102" max="4102" width="14.6640625" style="1" customWidth="1"/>
    <col min="4103" max="4104" width="11.33203125" style="1" bestFit="1" customWidth="1"/>
    <col min="4105" max="4105" width="13.109375" style="1" bestFit="1" customWidth="1"/>
    <col min="4106" max="4106" width="9.77734375" style="1"/>
    <col min="4107" max="4107" width="11" style="1" customWidth="1"/>
    <col min="4108" max="4352" width="9.77734375" style="1"/>
    <col min="4353" max="4353" width="34.5546875" style="1" customWidth="1"/>
    <col min="4354" max="4354" width="13.77734375" style="1" customWidth="1"/>
    <col min="4355" max="4355" width="13.109375" style="1" customWidth="1"/>
    <col min="4356" max="4357" width="15.33203125" style="1" customWidth="1"/>
    <col min="4358" max="4358" width="14.6640625" style="1" customWidth="1"/>
    <col min="4359" max="4360" width="11.33203125" style="1" bestFit="1" customWidth="1"/>
    <col min="4361" max="4361" width="13.109375" style="1" bestFit="1" customWidth="1"/>
    <col min="4362" max="4362" width="9.77734375" style="1"/>
    <col min="4363" max="4363" width="11" style="1" customWidth="1"/>
    <col min="4364" max="4608" width="9.77734375" style="1"/>
    <col min="4609" max="4609" width="34.5546875" style="1" customWidth="1"/>
    <col min="4610" max="4610" width="13.77734375" style="1" customWidth="1"/>
    <col min="4611" max="4611" width="13.109375" style="1" customWidth="1"/>
    <col min="4612" max="4613" width="15.33203125" style="1" customWidth="1"/>
    <col min="4614" max="4614" width="14.6640625" style="1" customWidth="1"/>
    <col min="4615" max="4616" width="11.33203125" style="1" bestFit="1" customWidth="1"/>
    <col min="4617" max="4617" width="13.109375" style="1" bestFit="1" customWidth="1"/>
    <col min="4618" max="4618" width="9.77734375" style="1"/>
    <col min="4619" max="4619" width="11" style="1" customWidth="1"/>
    <col min="4620" max="4864" width="9.77734375" style="1"/>
    <col min="4865" max="4865" width="34.5546875" style="1" customWidth="1"/>
    <col min="4866" max="4866" width="13.77734375" style="1" customWidth="1"/>
    <col min="4867" max="4867" width="13.109375" style="1" customWidth="1"/>
    <col min="4868" max="4869" width="15.33203125" style="1" customWidth="1"/>
    <col min="4870" max="4870" width="14.6640625" style="1" customWidth="1"/>
    <col min="4871" max="4872" width="11.33203125" style="1" bestFit="1" customWidth="1"/>
    <col min="4873" max="4873" width="13.109375" style="1" bestFit="1" customWidth="1"/>
    <col min="4874" max="4874" width="9.77734375" style="1"/>
    <col min="4875" max="4875" width="11" style="1" customWidth="1"/>
    <col min="4876" max="5120" width="9.77734375" style="1"/>
    <col min="5121" max="5121" width="34.5546875" style="1" customWidth="1"/>
    <col min="5122" max="5122" width="13.77734375" style="1" customWidth="1"/>
    <col min="5123" max="5123" width="13.109375" style="1" customWidth="1"/>
    <col min="5124" max="5125" width="15.33203125" style="1" customWidth="1"/>
    <col min="5126" max="5126" width="14.6640625" style="1" customWidth="1"/>
    <col min="5127" max="5128" width="11.33203125" style="1" bestFit="1" customWidth="1"/>
    <col min="5129" max="5129" width="13.109375" style="1" bestFit="1" customWidth="1"/>
    <col min="5130" max="5130" width="9.77734375" style="1"/>
    <col min="5131" max="5131" width="11" style="1" customWidth="1"/>
    <col min="5132" max="5376" width="9.77734375" style="1"/>
    <col min="5377" max="5377" width="34.5546875" style="1" customWidth="1"/>
    <col min="5378" max="5378" width="13.77734375" style="1" customWidth="1"/>
    <col min="5379" max="5379" width="13.109375" style="1" customWidth="1"/>
    <col min="5380" max="5381" width="15.33203125" style="1" customWidth="1"/>
    <col min="5382" max="5382" width="14.6640625" style="1" customWidth="1"/>
    <col min="5383" max="5384" width="11.33203125" style="1" bestFit="1" customWidth="1"/>
    <col min="5385" max="5385" width="13.109375" style="1" bestFit="1" customWidth="1"/>
    <col min="5386" max="5386" width="9.77734375" style="1"/>
    <col min="5387" max="5387" width="11" style="1" customWidth="1"/>
    <col min="5388" max="5632" width="9.77734375" style="1"/>
    <col min="5633" max="5633" width="34.5546875" style="1" customWidth="1"/>
    <col min="5634" max="5634" width="13.77734375" style="1" customWidth="1"/>
    <col min="5635" max="5635" width="13.109375" style="1" customWidth="1"/>
    <col min="5636" max="5637" width="15.33203125" style="1" customWidth="1"/>
    <col min="5638" max="5638" width="14.6640625" style="1" customWidth="1"/>
    <col min="5639" max="5640" width="11.33203125" style="1" bestFit="1" customWidth="1"/>
    <col min="5641" max="5641" width="13.109375" style="1" bestFit="1" customWidth="1"/>
    <col min="5642" max="5642" width="9.77734375" style="1"/>
    <col min="5643" max="5643" width="11" style="1" customWidth="1"/>
    <col min="5644" max="5888" width="9.77734375" style="1"/>
    <col min="5889" max="5889" width="34.5546875" style="1" customWidth="1"/>
    <col min="5890" max="5890" width="13.77734375" style="1" customWidth="1"/>
    <col min="5891" max="5891" width="13.109375" style="1" customWidth="1"/>
    <col min="5892" max="5893" width="15.33203125" style="1" customWidth="1"/>
    <col min="5894" max="5894" width="14.6640625" style="1" customWidth="1"/>
    <col min="5895" max="5896" width="11.33203125" style="1" bestFit="1" customWidth="1"/>
    <col min="5897" max="5897" width="13.109375" style="1" bestFit="1" customWidth="1"/>
    <col min="5898" max="5898" width="9.77734375" style="1"/>
    <col min="5899" max="5899" width="11" style="1" customWidth="1"/>
    <col min="5900" max="6144" width="9.77734375" style="1"/>
    <col min="6145" max="6145" width="34.5546875" style="1" customWidth="1"/>
    <col min="6146" max="6146" width="13.77734375" style="1" customWidth="1"/>
    <col min="6147" max="6147" width="13.109375" style="1" customWidth="1"/>
    <col min="6148" max="6149" width="15.33203125" style="1" customWidth="1"/>
    <col min="6150" max="6150" width="14.6640625" style="1" customWidth="1"/>
    <col min="6151" max="6152" width="11.33203125" style="1" bestFit="1" customWidth="1"/>
    <col min="6153" max="6153" width="13.109375" style="1" bestFit="1" customWidth="1"/>
    <col min="6154" max="6154" width="9.77734375" style="1"/>
    <col min="6155" max="6155" width="11" style="1" customWidth="1"/>
    <col min="6156" max="6400" width="9.77734375" style="1"/>
    <col min="6401" max="6401" width="34.5546875" style="1" customWidth="1"/>
    <col min="6402" max="6402" width="13.77734375" style="1" customWidth="1"/>
    <col min="6403" max="6403" width="13.109375" style="1" customWidth="1"/>
    <col min="6404" max="6405" width="15.33203125" style="1" customWidth="1"/>
    <col min="6406" max="6406" width="14.6640625" style="1" customWidth="1"/>
    <col min="6407" max="6408" width="11.33203125" style="1" bestFit="1" customWidth="1"/>
    <col min="6409" max="6409" width="13.109375" style="1" bestFit="1" customWidth="1"/>
    <col min="6410" max="6410" width="9.77734375" style="1"/>
    <col min="6411" max="6411" width="11" style="1" customWidth="1"/>
    <col min="6412" max="6656" width="9.77734375" style="1"/>
    <col min="6657" max="6657" width="34.5546875" style="1" customWidth="1"/>
    <col min="6658" max="6658" width="13.77734375" style="1" customWidth="1"/>
    <col min="6659" max="6659" width="13.109375" style="1" customWidth="1"/>
    <col min="6660" max="6661" width="15.33203125" style="1" customWidth="1"/>
    <col min="6662" max="6662" width="14.6640625" style="1" customWidth="1"/>
    <col min="6663" max="6664" width="11.33203125" style="1" bestFit="1" customWidth="1"/>
    <col min="6665" max="6665" width="13.109375" style="1" bestFit="1" customWidth="1"/>
    <col min="6666" max="6666" width="9.77734375" style="1"/>
    <col min="6667" max="6667" width="11" style="1" customWidth="1"/>
    <col min="6668" max="6912" width="9.77734375" style="1"/>
    <col min="6913" max="6913" width="34.5546875" style="1" customWidth="1"/>
    <col min="6914" max="6914" width="13.77734375" style="1" customWidth="1"/>
    <col min="6915" max="6915" width="13.109375" style="1" customWidth="1"/>
    <col min="6916" max="6917" width="15.33203125" style="1" customWidth="1"/>
    <col min="6918" max="6918" width="14.6640625" style="1" customWidth="1"/>
    <col min="6919" max="6920" width="11.33203125" style="1" bestFit="1" customWidth="1"/>
    <col min="6921" max="6921" width="13.109375" style="1" bestFit="1" customWidth="1"/>
    <col min="6922" max="6922" width="9.77734375" style="1"/>
    <col min="6923" max="6923" width="11" style="1" customWidth="1"/>
    <col min="6924" max="7168" width="9.77734375" style="1"/>
    <col min="7169" max="7169" width="34.5546875" style="1" customWidth="1"/>
    <col min="7170" max="7170" width="13.77734375" style="1" customWidth="1"/>
    <col min="7171" max="7171" width="13.109375" style="1" customWidth="1"/>
    <col min="7172" max="7173" width="15.33203125" style="1" customWidth="1"/>
    <col min="7174" max="7174" width="14.6640625" style="1" customWidth="1"/>
    <col min="7175" max="7176" width="11.33203125" style="1" bestFit="1" customWidth="1"/>
    <col min="7177" max="7177" width="13.109375" style="1" bestFit="1" customWidth="1"/>
    <col min="7178" max="7178" width="9.77734375" style="1"/>
    <col min="7179" max="7179" width="11" style="1" customWidth="1"/>
    <col min="7180" max="7424" width="9.77734375" style="1"/>
    <col min="7425" max="7425" width="34.5546875" style="1" customWidth="1"/>
    <col min="7426" max="7426" width="13.77734375" style="1" customWidth="1"/>
    <col min="7427" max="7427" width="13.109375" style="1" customWidth="1"/>
    <col min="7428" max="7429" width="15.33203125" style="1" customWidth="1"/>
    <col min="7430" max="7430" width="14.6640625" style="1" customWidth="1"/>
    <col min="7431" max="7432" width="11.33203125" style="1" bestFit="1" customWidth="1"/>
    <col min="7433" max="7433" width="13.109375" style="1" bestFit="1" customWidth="1"/>
    <col min="7434" max="7434" width="9.77734375" style="1"/>
    <col min="7435" max="7435" width="11" style="1" customWidth="1"/>
    <col min="7436" max="7680" width="9.77734375" style="1"/>
    <col min="7681" max="7681" width="34.5546875" style="1" customWidth="1"/>
    <col min="7682" max="7682" width="13.77734375" style="1" customWidth="1"/>
    <col min="7683" max="7683" width="13.109375" style="1" customWidth="1"/>
    <col min="7684" max="7685" width="15.33203125" style="1" customWidth="1"/>
    <col min="7686" max="7686" width="14.6640625" style="1" customWidth="1"/>
    <col min="7687" max="7688" width="11.33203125" style="1" bestFit="1" customWidth="1"/>
    <col min="7689" max="7689" width="13.109375" style="1" bestFit="1" customWidth="1"/>
    <col min="7690" max="7690" width="9.77734375" style="1"/>
    <col min="7691" max="7691" width="11" style="1" customWidth="1"/>
    <col min="7692" max="7936" width="9.77734375" style="1"/>
    <col min="7937" max="7937" width="34.5546875" style="1" customWidth="1"/>
    <col min="7938" max="7938" width="13.77734375" style="1" customWidth="1"/>
    <col min="7939" max="7939" width="13.109375" style="1" customWidth="1"/>
    <col min="7940" max="7941" width="15.33203125" style="1" customWidth="1"/>
    <col min="7942" max="7942" width="14.6640625" style="1" customWidth="1"/>
    <col min="7943" max="7944" width="11.33203125" style="1" bestFit="1" customWidth="1"/>
    <col min="7945" max="7945" width="13.109375" style="1" bestFit="1" customWidth="1"/>
    <col min="7946" max="7946" width="9.77734375" style="1"/>
    <col min="7947" max="7947" width="11" style="1" customWidth="1"/>
    <col min="7948" max="8192" width="9.77734375" style="1"/>
    <col min="8193" max="8193" width="34.5546875" style="1" customWidth="1"/>
    <col min="8194" max="8194" width="13.77734375" style="1" customWidth="1"/>
    <col min="8195" max="8195" width="13.109375" style="1" customWidth="1"/>
    <col min="8196" max="8197" width="15.33203125" style="1" customWidth="1"/>
    <col min="8198" max="8198" width="14.6640625" style="1" customWidth="1"/>
    <col min="8199" max="8200" width="11.33203125" style="1" bestFit="1" customWidth="1"/>
    <col min="8201" max="8201" width="13.109375" style="1" bestFit="1" customWidth="1"/>
    <col min="8202" max="8202" width="9.77734375" style="1"/>
    <col min="8203" max="8203" width="11" style="1" customWidth="1"/>
    <col min="8204" max="8448" width="9.77734375" style="1"/>
    <col min="8449" max="8449" width="34.5546875" style="1" customWidth="1"/>
    <col min="8450" max="8450" width="13.77734375" style="1" customWidth="1"/>
    <col min="8451" max="8451" width="13.109375" style="1" customWidth="1"/>
    <col min="8452" max="8453" width="15.33203125" style="1" customWidth="1"/>
    <col min="8454" max="8454" width="14.6640625" style="1" customWidth="1"/>
    <col min="8455" max="8456" width="11.33203125" style="1" bestFit="1" customWidth="1"/>
    <col min="8457" max="8457" width="13.109375" style="1" bestFit="1" customWidth="1"/>
    <col min="8458" max="8458" width="9.77734375" style="1"/>
    <col min="8459" max="8459" width="11" style="1" customWidth="1"/>
    <col min="8460" max="8704" width="9.77734375" style="1"/>
    <col min="8705" max="8705" width="34.5546875" style="1" customWidth="1"/>
    <col min="8706" max="8706" width="13.77734375" style="1" customWidth="1"/>
    <col min="8707" max="8707" width="13.109375" style="1" customWidth="1"/>
    <col min="8708" max="8709" width="15.33203125" style="1" customWidth="1"/>
    <col min="8710" max="8710" width="14.6640625" style="1" customWidth="1"/>
    <col min="8711" max="8712" width="11.33203125" style="1" bestFit="1" customWidth="1"/>
    <col min="8713" max="8713" width="13.109375" style="1" bestFit="1" customWidth="1"/>
    <col min="8714" max="8714" width="9.77734375" style="1"/>
    <col min="8715" max="8715" width="11" style="1" customWidth="1"/>
    <col min="8716" max="8960" width="9.77734375" style="1"/>
    <col min="8961" max="8961" width="34.5546875" style="1" customWidth="1"/>
    <col min="8962" max="8962" width="13.77734375" style="1" customWidth="1"/>
    <col min="8963" max="8963" width="13.109375" style="1" customWidth="1"/>
    <col min="8964" max="8965" width="15.33203125" style="1" customWidth="1"/>
    <col min="8966" max="8966" width="14.6640625" style="1" customWidth="1"/>
    <col min="8967" max="8968" width="11.33203125" style="1" bestFit="1" customWidth="1"/>
    <col min="8969" max="8969" width="13.109375" style="1" bestFit="1" customWidth="1"/>
    <col min="8970" max="8970" width="9.77734375" style="1"/>
    <col min="8971" max="8971" width="11" style="1" customWidth="1"/>
    <col min="8972" max="9216" width="9.77734375" style="1"/>
    <col min="9217" max="9217" width="34.5546875" style="1" customWidth="1"/>
    <col min="9218" max="9218" width="13.77734375" style="1" customWidth="1"/>
    <col min="9219" max="9219" width="13.109375" style="1" customWidth="1"/>
    <col min="9220" max="9221" width="15.33203125" style="1" customWidth="1"/>
    <col min="9222" max="9222" width="14.6640625" style="1" customWidth="1"/>
    <col min="9223" max="9224" width="11.33203125" style="1" bestFit="1" customWidth="1"/>
    <col min="9225" max="9225" width="13.109375" style="1" bestFit="1" customWidth="1"/>
    <col min="9226" max="9226" width="9.77734375" style="1"/>
    <col min="9227" max="9227" width="11" style="1" customWidth="1"/>
    <col min="9228" max="9472" width="9.77734375" style="1"/>
    <col min="9473" max="9473" width="34.5546875" style="1" customWidth="1"/>
    <col min="9474" max="9474" width="13.77734375" style="1" customWidth="1"/>
    <col min="9475" max="9475" width="13.109375" style="1" customWidth="1"/>
    <col min="9476" max="9477" width="15.33203125" style="1" customWidth="1"/>
    <col min="9478" max="9478" width="14.6640625" style="1" customWidth="1"/>
    <col min="9479" max="9480" width="11.33203125" style="1" bestFit="1" customWidth="1"/>
    <col min="9481" max="9481" width="13.109375" style="1" bestFit="1" customWidth="1"/>
    <col min="9482" max="9482" width="9.77734375" style="1"/>
    <col min="9483" max="9483" width="11" style="1" customWidth="1"/>
    <col min="9484" max="9728" width="9.77734375" style="1"/>
    <col min="9729" max="9729" width="34.5546875" style="1" customWidth="1"/>
    <col min="9730" max="9730" width="13.77734375" style="1" customWidth="1"/>
    <col min="9731" max="9731" width="13.109375" style="1" customWidth="1"/>
    <col min="9732" max="9733" width="15.33203125" style="1" customWidth="1"/>
    <col min="9734" max="9734" width="14.6640625" style="1" customWidth="1"/>
    <col min="9735" max="9736" width="11.33203125" style="1" bestFit="1" customWidth="1"/>
    <col min="9737" max="9737" width="13.109375" style="1" bestFit="1" customWidth="1"/>
    <col min="9738" max="9738" width="9.77734375" style="1"/>
    <col min="9739" max="9739" width="11" style="1" customWidth="1"/>
    <col min="9740" max="9984" width="9.77734375" style="1"/>
    <col min="9985" max="9985" width="34.5546875" style="1" customWidth="1"/>
    <col min="9986" max="9986" width="13.77734375" style="1" customWidth="1"/>
    <col min="9987" max="9987" width="13.109375" style="1" customWidth="1"/>
    <col min="9988" max="9989" width="15.33203125" style="1" customWidth="1"/>
    <col min="9990" max="9990" width="14.6640625" style="1" customWidth="1"/>
    <col min="9991" max="9992" width="11.33203125" style="1" bestFit="1" customWidth="1"/>
    <col min="9993" max="9993" width="13.109375" style="1" bestFit="1" customWidth="1"/>
    <col min="9994" max="9994" width="9.77734375" style="1"/>
    <col min="9995" max="9995" width="11" style="1" customWidth="1"/>
    <col min="9996" max="10240" width="9.77734375" style="1"/>
    <col min="10241" max="10241" width="34.5546875" style="1" customWidth="1"/>
    <col min="10242" max="10242" width="13.77734375" style="1" customWidth="1"/>
    <col min="10243" max="10243" width="13.109375" style="1" customWidth="1"/>
    <col min="10244" max="10245" width="15.33203125" style="1" customWidth="1"/>
    <col min="10246" max="10246" width="14.6640625" style="1" customWidth="1"/>
    <col min="10247" max="10248" width="11.33203125" style="1" bestFit="1" customWidth="1"/>
    <col min="10249" max="10249" width="13.109375" style="1" bestFit="1" customWidth="1"/>
    <col min="10250" max="10250" width="9.77734375" style="1"/>
    <col min="10251" max="10251" width="11" style="1" customWidth="1"/>
    <col min="10252" max="10496" width="9.77734375" style="1"/>
    <col min="10497" max="10497" width="34.5546875" style="1" customWidth="1"/>
    <col min="10498" max="10498" width="13.77734375" style="1" customWidth="1"/>
    <col min="10499" max="10499" width="13.109375" style="1" customWidth="1"/>
    <col min="10500" max="10501" width="15.33203125" style="1" customWidth="1"/>
    <col min="10502" max="10502" width="14.6640625" style="1" customWidth="1"/>
    <col min="10503" max="10504" width="11.33203125" style="1" bestFit="1" customWidth="1"/>
    <col min="10505" max="10505" width="13.109375" style="1" bestFit="1" customWidth="1"/>
    <col min="10506" max="10506" width="9.77734375" style="1"/>
    <col min="10507" max="10507" width="11" style="1" customWidth="1"/>
    <col min="10508" max="10752" width="9.77734375" style="1"/>
    <col min="10753" max="10753" width="34.5546875" style="1" customWidth="1"/>
    <col min="10754" max="10754" width="13.77734375" style="1" customWidth="1"/>
    <col min="10755" max="10755" width="13.109375" style="1" customWidth="1"/>
    <col min="10756" max="10757" width="15.33203125" style="1" customWidth="1"/>
    <col min="10758" max="10758" width="14.6640625" style="1" customWidth="1"/>
    <col min="10759" max="10760" width="11.33203125" style="1" bestFit="1" customWidth="1"/>
    <col min="10761" max="10761" width="13.109375" style="1" bestFit="1" customWidth="1"/>
    <col min="10762" max="10762" width="9.77734375" style="1"/>
    <col min="10763" max="10763" width="11" style="1" customWidth="1"/>
    <col min="10764" max="11008" width="9.77734375" style="1"/>
    <col min="11009" max="11009" width="34.5546875" style="1" customWidth="1"/>
    <col min="11010" max="11010" width="13.77734375" style="1" customWidth="1"/>
    <col min="11011" max="11011" width="13.109375" style="1" customWidth="1"/>
    <col min="11012" max="11013" width="15.33203125" style="1" customWidth="1"/>
    <col min="11014" max="11014" width="14.6640625" style="1" customWidth="1"/>
    <col min="11015" max="11016" width="11.33203125" style="1" bestFit="1" customWidth="1"/>
    <col min="11017" max="11017" width="13.109375" style="1" bestFit="1" customWidth="1"/>
    <col min="11018" max="11018" width="9.77734375" style="1"/>
    <col min="11019" max="11019" width="11" style="1" customWidth="1"/>
    <col min="11020" max="11264" width="9.77734375" style="1"/>
    <col min="11265" max="11265" width="34.5546875" style="1" customWidth="1"/>
    <col min="11266" max="11266" width="13.77734375" style="1" customWidth="1"/>
    <col min="11267" max="11267" width="13.109375" style="1" customWidth="1"/>
    <col min="11268" max="11269" width="15.33203125" style="1" customWidth="1"/>
    <col min="11270" max="11270" width="14.6640625" style="1" customWidth="1"/>
    <col min="11271" max="11272" width="11.33203125" style="1" bestFit="1" customWidth="1"/>
    <col min="11273" max="11273" width="13.109375" style="1" bestFit="1" customWidth="1"/>
    <col min="11274" max="11274" width="9.77734375" style="1"/>
    <col min="11275" max="11275" width="11" style="1" customWidth="1"/>
    <col min="11276" max="11520" width="9.77734375" style="1"/>
    <col min="11521" max="11521" width="34.5546875" style="1" customWidth="1"/>
    <col min="11522" max="11522" width="13.77734375" style="1" customWidth="1"/>
    <col min="11523" max="11523" width="13.109375" style="1" customWidth="1"/>
    <col min="11524" max="11525" width="15.33203125" style="1" customWidth="1"/>
    <col min="11526" max="11526" width="14.6640625" style="1" customWidth="1"/>
    <col min="11527" max="11528" width="11.33203125" style="1" bestFit="1" customWidth="1"/>
    <col min="11529" max="11529" width="13.109375" style="1" bestFit="1" customWidth="1"/>
    <col min="11530" max="11530" width="9.77734375" style="1"/>
    <col min="11531" max="11531" width="11" style="1" customWidth="1"/>
    <col min="11532" max="11776" width="9.77734375" style="1"/>
    <col min="11777" max="11777" width="34.5546875" style="1" customWidth="1"/>
    <col min="11778" max="11778" width="13.77734375" style="1" customWidth="1"/>
    <col min="11779" max="11779" width="13.109375" style="1" customWidth="1"/>
    <col min="11780" max="11781" width="15.33203125" style="1" customWidth="1"/>
    <col min="11782" max="11782" width="14.6640625" style="1" customWidth="1"/>
    <col min="11783" max="11784" width="11.33203125" style="1" bestFit="1" customWidth="1"/>
    <col min="11785" max="11785" width="13.109375" style="1" bestFit="1" customWidth="1"/>
    <col min="11786" max="11786" width="9.77734375" style="1"/>
    <col min="11787" max="11787" width="11" style="1" customWidth="1"/>
    <col min="11788" max="12032" width="9.77734375" style="1"/>
    <col min="12033" max="12033" width="34.5546875" style="1" customWidth="1"/>
    <col min="12034" max="12034" width="13.77734375" style="1" customWidth="1"/>
    <col min="12035" max="12035" width="13.109375" style="1" customWidth="1"/>
    <col min="12036" max="12037" width="15.33203125" style="1" customWidth="1"/>
    <col min="12038" max="12038" width="14.6640625" style="1" customWidth="1"/>
    <col min="12039" max="12040" width="11.33203125" style="1" bestFit="1" customWidth="1"/>
    <col min="12041" max="12041" width="13.109375" style="1" bestFit="1" customWidth="1"/>
    <col min="12042" max="12042" width="9.77734375" style="1"/>
    <col min="12043" max="12043" width="11" style="1" customWidth="1"/>
    <col min="12044" max="12288" width="9.77734375" style="1"/>
    <col min="12289" max="12289" width="34.5546875" style="1" customWidth="1"/>
    <col min="12290" max="12290" width="13.77734375" style="1" customWidth="1"/>
    <col min="12291" max="12291" width="13.109375" style="1" customWidth="1"/>
    <col min="12292" max="12293" width="15.33203125" style="1" customWidth="1"/>
    <col min="12294" max="12294" width="14.6640625" style="1" customWidth="1"/>
    <col min="12295" max="12296" width="11.33203125" style="1" bestFit="1" customWidth="1"/>
    <col min="12297" max="12297" width="13.109375" style="1" bestFit="1" customWidth="1"/>
    <col min="12298" max="12298" width="9.77734375" style="1"/>
    <col min="12299" max="12299" width="11" style="1" customWidth="1"/>
    <col min="12300" max="12544" width="9.77734375" style="1"/>
    <col min="12545" max="12545" width="34.5546875" style="1" customWidth="1"/>
    <col min="12546" max="12546" width="13.77734375" style="1" customWidth="1"/>
    <col min="12547" max="12547" width="13.109375" style="1" customWidth="1"/>
    <col min="12548" max="12549" width="15.33203125" style="1" customWidth="1"/>
    <col min="12550" max="12550" width="14.6640625" style="1" customWidth="1"/>
    <col min="12551" max="12552" width="11.33203125" style="1" bestFit="1" customWidth="1"/>
    <col min="12553" max="12553" width="13.109375" style="1" bestFit="1" customWidth="1"/>
    <col min="12554" max="12554" width="9.77734375" style="1"/>
    <col min="12555" max="12555" width="11" style="1" customWidth="1"/>
    <col min="12556" max="12800" width="9.77734375" style="1"/>
    <col min="12801" max="12801" width="34.5546875" style="1" customWidth="1"/>
    <col min="12802" max="12802" width="13.77734375" style="1" customWidth="1"/>
    <col min="12803" max="12803" width="13.109375" style="1" customWidth="1"/>
    <col min="12804" max="12805" width="15.33203125" style="1" customWidth="1"/>
    <col min="12806" max="12806" width="14.6640625" style="1" customWidth="1"/>
    <col min="12807" max="12808" width="11.33203125" style="1" bestFit="1" customWidth="1"/>
    <col min="12809" max="12809" width="13.109375" style="1" bestFit="1" customWidth="1"/>
    <col min="12810" max="12810" width="9.77734375" style="1"/>
    <col min="12811" max="12811" width="11" style="1" customWidth="1"/>
    <col min="12812" max="13056" width="9.77734375" style="1"/>
    <col min="13057" max="13057" width="34.5546875" style="1" customWidth="1"/>
    <col min="13058" max="13058" width="13.77734375" style="1" customWidth="1"/>
    <col min="13059" max="13059" width="13.109375" style="1" customWidth="1"/>
    <col min="13060" max="13061" width="15.33203125" style="1" customWidth="1"/>
    <col min="13062" max="13062" width="14.6640625" style="1" customWidth="1"/>
    <col min="13063" max="13064" width="11.33203125" style="1" bestFit="1" customWidth="1"/>
    <col min="13065" max="13065" width="13.109375" style="1" bestFit="1" customWidth="1"/>
    <col min="13066" max="13066" width="9.77734375" style="1"/>
    <col min="13067" max="13067" width="11" style="1" customWidth="1"/>
    <col min="13068" max="13312" width="9.77734375" style="1"/>
    <col min="13313" max="13313" width="34.5546875" style="1" customWidth="1"/>
    <col min="13314" max="13314" width="13.77734375" style="1" customWidth="1"/>
    <col min="13315" max="13315" width="13.109375" style="1" customWidth="1"/>
    <col min="13316" max="13317" width="15.33203125" style="1" customWidth="1"/>
    <col min="13318" max="13318" width="14.6640625" style="1" customWidth="1"/>
    <col min="13319" max="13320" width="11.33203125" style="1" bestFit="1" customWidth="1"/>
    <col min="13321" max="13321" width="13.109375" style="1" bestFit="1" customWidth="1"/>
    <col min="13322" max="13322" width="9.77734375" style="1"/>
    <col min="13323" max="13323" width="11" style="1" customWidth="1"/>
    <col min="13324" max="13568" width="9.77734375" style="1"/>
    <col min="13569" max="13569" width="34.5546875" style="1" customWidth="1"/>
    <col min="13570" max="13570" width="13.77734375" style="1" customWidth="1"/>
    <col min="13571" max="13571" width="13.109375" style="1" customWidth="1"/>
    <col min="13572" max="13573" width="15.33203125" style="1" customWidth="1"/>
    <col min="13574" max="13574" width="14.6640625" style="1" customWidth="1"/>
    <col min="13575" max="13576" width="11.33203125" style="1" bestFit="1" customWidth="1"/>
    <col min="13577" max="13577" width="13.109375" style="1" bestFit="1" customWidth="1"/>
    <col min="13578" max="13578" width="9.77734375" style="1"/>
    <col min="13579" max="13579" width="11" style="1" customWidth="1"/>
    <col min="13580" max="13824" width="9.77734375" style="1"/>
    <col min="13825" max="13825" width="34.5546875" style="1" customWidth="1"/>
    <col min="13826" max="13826" width="13.77734375" style="1" customWidth="1"/>
    <col min="13827" max="13827" width="13.109375" style="1" customWidth="1"/>
    <col min="13828" max="13829" width="15.33203125" style="1" customWidth="1"/>
    <col min="13830" max="13830" width="14.6640625" style="1" customWidth="1"/>
    <col min="13831" max="13832" width="11.33203125" style="1" bestFit="1" customWidth="1"/>
    <col min="13833" max="13833" width="13.109375" style="1" bestFit="1" customWidth="1"/>
    <col min="13834" max="13834" width="9.77734375" style="1"/>
    <col min="13835" max="13835" width="11" style="1" customWidth="1"/>
    <col min="13836" max="14080" width="9.77734375" style="1"/>
    <col min="14081" max="14081" width="34.5546875" style="1" customWidth="1"/>
    <col min="14082" max="14082" width="13.77734375" style="1" customWidth="1"/>
    <col min="14083" max="14083" width="13.109375" style="1" customWidth="1"/>
    <col min="14084" max="14085" width="15.33203125" style="1" customWidth="1"/>
    <col min="14086" max="14086" width="14.6640625" style="1" customWidth="1"/>
    <col min="14087" max="14088" width="11.33203125" style="1" bestFit="1" customWidth="1"/>
    <col min="14089" max="14089" width="13.109375" style="1" bestFit="1" customWidth="1"/>
    <col min="14090" max="14090" width="9.77734375" style="1"/>
    <col min="14091" max="14091" width="11" style="1" customWidth="1"/>
    <col min="14092" max="14336" width="9.77734375" style="1"/>
    <col min="14337" max="14337" width="34.5546875" style="1" customWidth="1"/>
    <col min="14338" max="14338" width="13.77734375" style="1" customWidth="1"/>
    <col min="14339" max="14339" width="13.109375" style="1" customWidth="1"/>
    <col min="14340" max="14341" width="15.33203125" style="1" customWidth="1"/>
    <col min="14342" max="14342" width="14.6640625" style="1" customWidth="1"/>
    <col min="14343" max="14344" width="11.33203125" style="1" bestFit="1" customWidth="1"/>
    <col min="14345" max="14345" width="13.109375" style="1" bestFit="1" customWidth="1"/>
    <col min="14346" max="14346" width="9.77734375" style="1"/>
    <col min="14347" max="14347" width="11" style="1" customWidth="1"/>
    <col min="14348" max="14592" width="9.77734375" style="1"/>
    <col min="14593" max="14593" width="34.5546875" style="1" customWidth="1"/>
    <col min="14594" max="14594" width="13.77734375" style="1" customWidth="1"/>
    <col min="14595" max="14595" width="13.109375" style="1" customWidth="1"/>
    <col min="14596" max="14597" width="15.33203125" style="1" customWidth="1"/>
    <col min="14598" max="14598" width="14.6640625" style="1" customWidth="1"/>
    <col min="14599" max="14600" width="11.33203125" style="1" bestFit="1" customWidth="1"/>
    <col min="14601" max="14601" width="13.109375" style="1" bestFit="1" customWidth="1"/>
    <col min="14602" max="14602" width="9.77734375" style="1"/>
    <col min="14603" max="14603" width="11" style="1" customWidth="1"/>
    <col min="14604" max="14848" width="9.77734375" style="1"/>
    <col min="14849" max="14849" width="34.5546875" style="1" customWidth="1"/>
    <col min="14850" max="14850" width="13.77734375" style="1" customWidth="1"/>
    <col min="14851" max="14851" width="13.109375" style="1" customWidth="1"/>
    <col min="14852" max="14853" width="15.33203125" style="1" customWidth="1"/>
    <col min="14854" max="14854" width="14.6640625" style="1" customWidth="1"/>
    <col min="14855" max="14856" width="11.33203125" style="1" bestFit="1" customWidth="1"/>
    <col min="14857" max="14857" width="13.109375" style="1" bestFit="1" customWidth="1"/>
    <col min="14858" max="14858" width="9.77734375" style="1"/>
    <col min="14859" max="14859" width="11" style="1" customWidth="1"/>
    <col min="14860" max="15104" width="9.77734375" style="1"/>
    <col min="15105" max="15105" width="34.5546875" style="1" customWidth="1"/>
    <col min="15106" max="15106" width="13.77734375" style="1" customWidth="1"/>
    <col min="15107" max="15107" width="13.109375" style="1" customWidth="1"/>
    <col min="15108" max="15109" width="15.33203125" style="1" customWidth="1"/>
    <col min="15110" max="15110" width="14.6640625" style="1" customWidth="1"/>
    <col min="15111" max="15112" width="11.33203125" style="1" bestFit="1" customWidth="1"/>
    <col min="15113" max="15113" width="13.109375" style="1" bestFit="1" customWidth="1"/>
    <col min="15114" max="15114" width="9.77734375" style="1"/>
    <col min="15115" max="15115" width="11" style="1" customWidth="1"/>
    <col min="15116" max="15360" width="9.77734375" style="1"/>
    <col min="15361" max="15361" width="34.5546875" style="1" customWidth="1"/>
    <col min="15362" max="15362" width="13.77734375" style="1" customWidth="1"/>
    <col min="15363" max="15363" width="13.109375" style="1" customWidth="1"/>
    <col min="15364" max="15365" width="15.33203125" style="1" customWidth="1"/>
    <col min="15366" max="15366" width="14.6640625" style="1" customWidth="1"/>
    <col min="15367" max="15368" width="11.33203125" style="1" bestFit="1" customWidth="1"/>
    <col min="15369" max="15369" width="13.109375" style="1" bestFit="1" customWidth="1"/>
    <col min="15370" max="15370" width="9.77734375" style="1"/>
    <col min="15371" max="15371" width="11" style="1" customWidth="1"/>
    <col min="15372" max="15616" width="9.77734375" style="1"/>
    <col min="15617" max="15617" width="34.5546875" style="1" customWidth="1"/>
    <col min="15618" max="15618" width="13.77734375" style="1" customWidth="1"/>
    <col min="15619" max="15619" width="13.109375" style="1" customWidth="1"/>
    <col min="15620" max="15621" width="15.33203125" style="1" customWidth="1"/>
    <col min="15622" max="15622" width="14.6640625" style="1" customWidth="1"/>
    <col min="15623" max="15624" width="11.33203125" style="1" bestFit="1" customWidth="1"/>
    <col min="15625" max="15625" width="13.109375" style="1" bestFit="1" customWidth="1"/>
    <col min="15626" max="15626" width="9.77734375" style="1"/>
    <col min="15627" max="15627" width="11" style="1" customWidth="1"/>
    <col min="15628" max="15872" width="9.77734375" style="1"/>
    <col min="15873" max="15873" width="34.5546875" style="1" customWidth="1"/>
    <col min="15874" max="15874" width="13.77734375" style="1" customWidth="1"/>
    <col min="15875" max="15875" width="13.109375" style="1" customWidth="1"/>
    <col min="15876" max="15877" width="15.33203125" style="1" customWidth="1"/>
    <col min="15878" max="15878" width="14.6640625" style="1" customWidth="1"/>
    <col min="15879" max="15880" width="11.33203125" style="1" bestFit="1" customWidth="1"/>
    <col min="15881" max="15881" width="13.109375" style="1" bestFit="1" customWidth="1"/>
    <col min="15882" max="15882" width="9.77734375" style="1"/>
    <col min="15883" max="15883" width="11" style="1" customWidth="1"/>
    <col min="15884" max="16128" width="9.77734375" style="1"/>
    <col min="16129" max="16129" width="34.5546875" style="1" customWidth="1"/>
    <col min="16130" max="16130" width="13.77734375" style="1" customWidth="1"/>
    <col min="16131" max="16131" width="13.109375" style="1" customWidth="1"/>
    <col min="16132" max="16133" width="15.33203125" style="1" customWidth="1"/>
    <col min="16134" max="16134" width="14.6640625" style="1" customWidth="1"/>
    <col min="16135" max="16136" width="11.33203125" style="1" bestFit="1" customWidth="1"/>
    <col min="16137" max="16137" width="13.109375" style="1" bestFit="1" customWidth="1"/>
    <col min="16138" max="16138" width="9.77734375" style="1"/>
    <col min="16139" max="16139" width="11" style="1" customWidth="1"/>
    <col min="16140" max="16384" width="9.77734375" style="1"/>
  </cols>
  <sheetData>
    <row r="1" spans="1:12" ht="15.75" thickBot="1" x14ac:dyDescent="0.3">
      <c r="A1" s="21" t="s">
        <v>64</v>
      </c>
      <c r="B1" s="22"/>
      <c r="C1" s="22"/>
      <c r="D1" s="22"/>
      <c r="E1" s="22"/>
      <c r="F1" s="22"/>
    </row>
    <row r="2" spans="1:12" s="7" customFormat="1" ht="47.25" customHeight="1" thickBot="1" x14ac:dyDescent="0.3">
      <c r="A2" s="11"/>
      <c r="B2" s="12" t="s">
        <v>59</v>
      </c>
      <c r="C2" s="12" t="s">
        <v>57</v>
      </c>
      <c r="D2" s="13" t="s">
        <v>3</v>
      </c>
      <c r="E2" s="14" t="s">
        <v>1</v>
      </c>
      <c r="F2" s="32" t="s">
        <v>2</v>
      </c>
      <c r="I2" s="39"/>
    </row>
    <row r="3" spans="1:12" x14ac:dyDescent="0.2">
      <c r="A3" s="15" t="s">
        <v>4</v>
      </c>
      <c r="B3" s="24">
        <v>67900</v>
      </c>
      <c r="C3" s="25">
        <v>67577</v>
      </c>
      <c r="D3" s="30">
        <v>47.264601861580125</v>
      </c>
      <c r="E3" s="26">
        <v>3194</v>
      </c>
      <c r="F3" s="33">
        <f>+E3/36.744</f>
        <v>86.925756586109301</v>
      </c>
      <c r="G3" s="36"/>
      <c r="H3" s="36"/>
      <c r="I3" s="40"/>
      <c r="K3" s="35"/>
    </row>
    <row r="4" spans="1:12" x14ac:dyDescent="0.2">
      <c r="A4" s="15" t="s">
        <v>5</v>
      </c>
      <c r="B4" s="24">
        <v>224400</v>
      </c>
      <c r="C4" s="25">
        <v>223333</v>
      </c>
      <c r="D4" s="30">
        <v>50.235746620517347</v>
      </c>
      <c r="E4" s="26">
        <v>11219.3</v>
      </c>
      <c r="F4" s="33">
        <f t="shared" ref="F4:F56" si="0">+E4/36.744</f>
        <v>305.33692575658608</v>
      </c>
      <c r="G4" s="36"/>
      <c r="H4" s="36"/>
      <c r="I4" s="40"/>
      <c r="K4" s="35"/>
    </row>
    <row r="5" spans="1:12" x14ac:dyDescent="0.2">
      <c r="A5" s="15" t="s">
        <v>6</v>
      </c>
      <c r="B5" s="24">
        <v>101100</v>
      </c>
      <c r="C5" s="25">
        <v>100619</v>
      </c>
      <c r="D5" s="30">
        <v>44.596944911000904</v>
      </c>
      <c r="E5" s="26">
        <v>4487.3</v>
      </c>
      <c r="F5" s="33">
        <f t="shared" si="0"/>
        <v>122.12333986501199</v>
      </c>
      <c r="G5" s="36"/>
      <c r="H5" s="36"/>
      <c r="I5" s="40"/>
      <c r="K5" s="35"/>
    </row>
    <row r="6" spans="1:12" x14ac:dyDescent="0.2">
      <c r="A6" s="15" t="s">
        <v>7</v>
      </c>
      <c r="B6" s="24">
        <v>182900</v>
      </c>
      <c r="C6" s="25">
        <v>182030</v>
      </c>
      <c r="D6" s="30">
        <v>52.458935340328516</v>
      </c>
      <c r="E6" s="26">
        <v>9549.1</v>
      </c>
      <c r="F6" s="33">
        <f t="shared" si="0"/>
        <v>259.88188547790116</v>
      </c>
      <c r="G6" s="36"/>
      <c r="H6" s="36"/>
      <c r="I6" s="40"/>
      <c r="K6" s="35"/>
    </row>
    <row r="7" spans="1:12" x14ac:dyDescent="0.2">
      <c r="A7" s="15" t="s">
        <v>8</v>
      </c>
      <c r="B7" s="24">
        <v>155100</v>
      </c>
      <c r="C7" s="25">
        <v>154363</v>
      </c>
      <c r="D7" s="30">
        <v>44.232102252482782</v>
      </c>
      <c r="E7" s="26">
        <v>6827.8</v>
      </c>
      <c r="F7" s="33">
        <f t="shared" si="0"/>
        <v>185.82081428260398</v>
      </c>
      <c r="G7" s="36"/>
      <c r="H7" s="36"/>
      <c r="I7" s="40"/>
      <c r="K7" s="35"/>
    </row>
    <row r="8" spans="1:12" x14ac:dyDescent="0.2">
      <c r="A8" s="15" t="s">
        <v>9</v>
      </c>
      <c r="B8" s="24">
        <v>39200</v>
      </c>
      <c r="C8" s="25">
        <v>39014</v>
      </c>
      <c r="D8" s="30">
        <v>49.966678628184752</v>
      </c>
      <c r="E8" s="26">
        <v>1949.4</v>
      </c>
      <c r="F8" s="33">
        <f t="shared" si="0"/>
        <v>53.053559764859571</v>
      </c>
      <c r="G8" s="36"/>
      <c r="H8" s="36"/>
      <c r="I8" s="40"/>
      <c r="K8" s="35"/>
    </row>
    <row r="9" spans="1:12" x14ac:dyDescent="0.2">
      <c r="A9" s="15" t="s">
        <v>10</v>
      </c>
      <c r="B9" s="24">
        <v>304500</v>
      </c>
      <c r="C9" s="25">
        <v>303052</v>
      </c>
      <c r="D9" s="30">
        <v>50.583398228686825</v>
      </c>
      <c r="E9" s="26">
        <v>15329.4</v>
      </c>
      <c r="F9" s="33">
        <f t="shared" si="0"/>
        <v>417.19464402351406</v>
      </c>
      <c r="G9" s="36"/>
      <c r="H9" s="36"/>
      <c r="I9" s="40"/>
      <c r="K9" s="35"/>
    </row>
    <row r="10" spans="1:12" x14ac:dyDescent="0.2">
      <c r="A10" s="15" t="s">
        <v>11</v>
      </c>
      <c r="B10" s="24">
        <v>200200</v>
      </c>
      <c r="C10" s="25">
        <v>199248</v>
      </c>
      <c r="D10" s="30">
        <v>44.798944029551109</v>
      </c>
      <c r="E10" s="26">
        <v>8926.1</v>
      </c>
      <c r="F10" s="33">
        <f t="shared" si="0"/>
        <v>242.92673633790551</v>
      </c>
      <c r="G10" s="36"/>
      <c r="H10" s="36"/>
      <c r="I10" s="40"/>
      <c r="K10" s="35"/>
    </row>
    <row r="11" spans="1:12" x14ac:dyDescent="0.2">
      <c r="A11" s="15" t="s">
        <v>12</v>
      </c>
      <c r="B11" s="24">
        <v>91000</v>
      </c>
      <c r="C11" s="25">
        <v>90567</v>
      </c>
      <c r="D11" s="30">
        <v>46.399902834365719</v>
      </c>
      <c r="E11" s="26">
        <v>4202.3</v>
      </c>
      <c r="F11" s="33">
        <f t="shared" si="0"/>
        <v>114.36697147833661</v>
      </c>
      <c r="G11" s="36"/>
      <c r="H11" s="36"/>
      <c r="I11" s="40"/>
      <c r="K11" s="35"/>
    </row>
    <row r="12" spans="1:12" x14ac:dyDescent="0.2">
      <c r="A12" s="15" t="s">
        <v>13</v>
      </c>
      <c r="B12" s="24">
        <v>106100</v>
      </c>
      <c r="C12" s="25">
        <v>105596</v>
      </c>
      <c r="D12" s="30">
        <v>51.680934883897116</v>
      </c>
      <c r="E12" s="26">
        <v>5457.3</v>
      </c>
      <c r="F12" s="33">
        <f t="shared" si="0"/>
        <v>148.5222077073808</v>
      </c>
      <c r="G12" s="36"/>
      <c r="H12" s="36"/>
      <c r="I12" s="40"/>
      <c r="K12" s="35"/>
    </row>
    <row r="13" spans="1:12" s="5" customFormat="1" ht="15" x14ac:dyDescent="0.25">
      <c r="A13" s="16" t="s">
        <v>14</v>
      </c>
      <c r="B13" s="27">
        <f>SUM(B3:B12)</f>
        <v>1472400</v>
      </c>
      <c r="C13" s="27">
        <f>SUM(C3:C12)</f>
        <v>1465399</v>
      </c>
      <c r="D13" s="31">
        <v>48.547869897550086</v>
      </c>
      <c r="E13" s="27">
        <f>SUM(E3:E12)</f>
        <v>71142</v>
      </c>
      <c r="F13" s="34">
        <f t="shared" si="0"/>
        <v>1936.152841280209</v>
      </c>
      <c r="G13" s="37"/>
      <c r="H13" s="37"/>
      <c r="I13" s="41"/>
      <c r="K13" s="35"/>
      <c r="L13" s="1"/>
    </row>
    <row r="14" spans="1:12" x14ac:dyDescent="0.2">
      <c r="A14" s="15" t="s">
        <v>15</v>
      </c>
      <c r="B14" s="24">
        <v>121700</v>
      </c>
      <c r="C14" s="25">
        <v>121158</v>
      </c>
      <c r="D14" s="30">
        <v>42.42724376434078</v>
      </c>
      <c r="E14" s="26">
        <v>5140.3999999999996</v>
      </c>
      <c r="F14" s="33">
        <f t="shared" si="0"/>
        <v>139.89767036795121</v>
      </c>
      <c r="G14" s="36"/>
      <c r="H14" s="36"/>
      <c r="I14" s="40"/>
      <c r="K14" s="35"/>
    </row>
    <row r="15" spans="1:12" x14ac:dyDescent="0.2">
      <c r="A15" s="15" t="s">
        <v>16</v>
      </c>
      <c r="B15" s="24">
        <v>29000</v>
      </c>
      <c r="C15" s="25">
        <v>28871</v>
      </c>
      <c r="D15" s="30">
        <v>40.601295417547021</v>
      </c>
      <c r="E15" s="26">
        <v>1172.2</v>
      </c>
      <c r="F15" s="33">
        <f t="shared" si="0"/>
        <v>31.901807097757459</v>
      </c>
      <c r="G15" s="36"/>
      <c r="H15" s="36"/>
      <c r="I15" s="40"/>
      <c r="K15" s="35"/>
    </row>
    <row r="16" spans="1:12" x14ac:dyDescent="0.2">
      <c r="A16" s="15" t="s">
        <v>17</v>
      </c>
      <c r="B16" s="24">
        <v>53900</v>
      </c>
      <c r="C16" s="25">
        <v>53660</v>
      </c>
      <c r="D16" s="30">
        <v>44.826686544912413</v>
      </c>
      <c r="E16" s="26">
        <v>2405.4</v>
      </c>
      <c r="F16" s="33">
        <f t="shared" si="0"/>
        <v>65.463749183540173</v>
      </c>
      <c r="G16" s="36"/>
      <c r="H16" s="36"/>
      <c r="I16" s="40"/>
      <c r="K16" s="35"/>
    </row>
    <row r="17" spans="1:12" x14ac:dyDescent="0.2">
      <c r="A17" s="15" t="s">
        <v>18</v>
      </c>
      <c r="B17" s="24">
        <v>23700</v>
      </c>
      <c r="C17" s="25">
        <v>23595</v>
      </c>
      <c r="D17" s="30">
        <v>35.291375291375289</v>
      </c>
      <c r="E17" s="26">
        <v>832.7</v>
      </c>
      <c r="F17" s="33">
        <f t="shared" si="0"/>
        <v>22.662203352928369</v>
      </c>
      <c r="G17" s="36"/>
      <c r="H17" s="36"/>
      <c r="I17" s="40"/>
      <c r="K17" s="35"/>
    </row>
    <row r="18" spans="1:12" x14ac:dyDescent="0.2">
      <c r="A18" s="15" t="s">
        <v>19</v>
      </c>
      <c r="B18" s="24">
        <v>169000</v>
      </c>
      <c r="C18" s="25">
        <v>168248</v>
      </c>
      <c r="D18" s="30">
        <v>51.628548333412581</v>
      </c>
      <c r="E18" s="26">
        <v>8686.4</v>
      </c>
      <c r="F18" s="33">
        <f t="shared" si="0"/>
        <v>236.40322229479642</v>
      </c>
      <c r="G18" s="36"/>
      <c r="H18" s="36"/>
      <c r="I18" s="40"/>
      <c r="K18" s="35"/>
    </row>
    <row r="19" spans="1:12" x14ac:dyDescent="0.2">
      <c r="A19" s="15" t="s">
        <v>20</v>
      </c>
      <c r="B19" s="24">
        <v>32200</v>
      </c>
      <c r="C19" s="25">
        <v>32057</v>
      </c>
      <c r="D19" s="30">
        <v>48.310821349471254</v>
      </c>
      <c r="E19" s="26">
        <v>1548.7</v>
      </c>
      <c r="F19" s="33">
        <f t="shared" si="0"/>
        <v>42.148377966470719</v>
      </c>
      <c r="G19" s="36"/>
      <c r="H19" s="36"/>
      <c r="I19" s="40"/>
      <c r="K19" s="35"/>
    </row>
    <row r="20" spans="1:12" x14ac:dyDescent="0.2">
      <c r="A20" s="15" t="s">
        <v>21</v>
      </c>
      <c r="B20" s="24">
        <v>122900</v>
      </c>
      <c r="C20" s="25">
        <v>122353</v>
      </c>
      <c r="D20" s="30">
        <v>50.574158377808473</v>
      </c>
      <c r="E20" s="26">
        <v>6187.9</v>
      </c>
      <c r="F20" s="33">
        <f t="shared" si="0"/>
        <v>168.40572610494229</v>
      </c>
      <c r="G20" s="36"/>
      <c r="H20" s="36"/>
      <c r="I20" s="40"/>
      <c r="K20" s="35"/>
    </row>
    <row r="21" spans="1:12" x14ac:dyDescent="0.2">
      <c r="A21" s="15" t="s">
        <v>22</v>
      </c>
      <c r="B21" s="24">
        <v>143400</v>
      </c>
      <c r="C21" s="25">
        <v>142762</v>
      </c>
      <c r="D21" s="30">
        <v>40.407111136016589</v>
      </c>
      <c r="E21" s="26">
        <v>5768.6</v>
      </c>
      <c r="F21" s="33">
        <f t="shared" si="0"/>
        <v>156.99433921184414</v>
      </c>
      <c r="G21" s="36"/>
      <c r="H21" s="36"/>
      <c r="I21" s="40"/>
      <c r="K21" s="35"/>
    </row>
    <row r="22" spans="1:12" x14ac:dyDescent="0.2">
      <c r="A22" s="15" t="s">
        <v>23</v>
      </c>
      <c r="B22" s="24">
        <v>31800</v>
      </c>
      <c r="C22" s="25">
        <v>31658</v>
      </c>
      <c r="D22" s="30">
        <v>47.605660496556951</v>
      </c>
      <c r="E22" s="26">
        <v>1507.1</v>
      </c>
      <c r="F22" s="33">
        <f t="shared" si="0"/>
        <v>41.016220335292836</v>
      </c>
      <c r="G22" s="36"/>
      <c r="H22" s="36"/>
      <c r="I22" s="40"/>
      <c r="K22" s="35"/>
    </row>
    <row r="23" spans="1:12" x14ac:dyDescent="0.2">
      <c r="A23" s="15" t="s">
        <v>24</v>
      </c>
      <c r="B23" s="24">
        <v>103700</v>
      </c>
      <c r="C23" s="25">
        <v>103238</v>
      </c>
      <c r="D23" s="30">
        <v>43.691276467967221</v>
      </c>
      <c r="E23" s="26">
        <v>4510.6000000000004</v>
      </c>
      <c r="F23" s="33">
        <f t="shared" si="0"/>
        <v>122.75745699978229</v>
      </c>
      <c r="G23" s="36"/>
      <c r="H23" s="36"/>
      <c r="I23" s="40"/>
      <c r="K23" s="35"/>
    </row>
    <row r="24" spans="1:12" s="5" customFormat="1" ht="15" x14ac:dyDescent="0.25">
      <c r="A24" s="16" t="s">
        <v>25</v>
      </c>
      <c r="B24" s="27">
        <f>SUM(B14:B23)</f>
        <v>831300</v>
      </c>
      <c r="C24" s="27">
        <f>SUM(C14:C23)</f>
        <v>827600</v>
      </c>
      <c r="D24" s="31">
        <v>45.625906234896085</v>
      </c>
      <c r="E24" s="27">
        <f>SUM(E14:E23)</f>
        <v>37759.999999999993</v>
      </c>
      <c r="F24" s="34">
        <f t="shared" si="0"/>
        <v>1027.6507729153057</v>
      </c>
      <c r="G24" s="37"/>
      <c r="H24" s="37"/>
      <c r="I24" s="41"/>
      <c r="K24" s="35"/>
      <c r="L24" s="1"/>
    </row>
    <row r="25" spans="1:12" x14ac:dyDescent="0.2">
      <c r="A25" s="15" t="s">
        <v>26</v>
      </c>
      <c r="B25" s="24">
        <v>46100</v>
      </c>
      <c r="C25" s="25">
        <v>46060</v>
      </c>
      <c r="D25" s="30">
        <v>39.6048632218845</v>
      </c>
      <c r="E25" s="26">
        <v>1824.2</v>
      </c>
      <c r="F25" s="33">
        <f t="shared" si="0"/>
        <v>49.646200740256916</v>
      </c>
      <c r="G25" s="36"/>
      <c r="H25" s="36"/>
      <c r="I25" s="40"/>
      <c r="K25" s="35"/>
    </row>
    <row r="26" spans="1:12" x14ac:dyDescent="0.2">
      <c r="A26" s="15" t="s">
        <v>27</v>
      </c>
      <c r="B26" s="44">
        <v>100</v>
      </c>
      <c r="C26" s="44">
        <v>100</v>
      </c>
      <c r="D26" s="44">
        <v>44</v>
      </c>
      <c r="E26" s="44">
        <v>4.4000000000000004</v>
      </c>
      <c r="F26" s="44">
        <f t="shared" si="0"/>
        <v>0.1197474417591988</v>
      </c>
      <c r="G26" s="36"/>
      <c r="H26" s="36"/>
      <c r="I26" s="40"/>
      <c r="K26" s="35"/>
    </row>
    <row r="27" spans="1:12" x14ac:dyDescent="0.2">
      <c r="A27" s="15" t="s">
        <v>28</v>
      </c>
      <c r="B27" s="24">
        <v>24100</v>
      </c>
      <c r="C27" s="25">
        <v>24079</v>
      </c>
      <c r="D27" s="30">
        <v>39.901989285269323</v>
      </c>
      <c r="E27" s="26">
        <v>960.8</v>
      </c>
      <c r="F27" s="33">
        <f t="shared" si="0"/>
        <v>26.148486827781404</v>
      </c>
      <c r="G27" s="36"/>
      <c r="H27" s="36"/>
      <c r="I27" s="40"/>
      <c r="K27" s="35"/>
    </row>
    <row r="28" spans="1:12" x14ac:dyDescent="0.2">
      <c r="A28" s="15" t="s">
        <v>29</v>
      </c>
      <c r="B28" s="24">
        <v>47200</v>
      </c>
      <c r="C28" s="25">
        <v>47159</v>
      </c>
      <c r="D28" s="30">
        <v>40.255306516253526</v>
      </c>
      <c r="E28" s="26">
        <v>1898.4</v>
      </c>
      <c r="F28" s="33">
        <f t="shared" si="0"/>
        <v>51.66557805355977</v>
      </c>
      <c r="G28" s="36"/>
      <c r="H28" s="36"/>
      <c r="I28" s="40"/>
      <c r="K28" s="35"/>
    </row>
    <row r="29" spans="1:12" x14ac:dyDescent="0.2">
      <c r="A29" s="15" t="s">
        <v>30</v>
      </c>
      <c r="B29" s="44">
        <v>0</v>
      </c>
      <c r="C29" s="44">
        <v>0</v>
      </c>
      <c r="D29" s="44" t="s">
        <v>65</v>
      </c>
      <c r="E29" s="44">
        <v>0</v>
      </c>
      <c r="F29" s="44">
        <f t="shared" si="0"/>
        <v>0</v>
      </c>
      <c r="G29" s="36"/>
      <c r="H29" s="36"/>
      <c r="I29" s="40"/>
      <c r="K29" s="35"/>
    </row>
    <row r="30" spans="1:12" x14ac:dyDescent="0.2">
      <c r="A30" s="15" t="s">
        <v>31</v>
      </c>
      <c r="B30" s="24">
        <v>48900</v>
      </c>
      <c r="C30" s="25">
        <v>48858</v>
      </c>
      <c r="D30" s="30">
        <v>40.21040566539768</v>
      </c>
      <c r="E30" s="26">
        <v>1964.6</v>
      </c>
      <c r="F30" s="33">
        <f t="shared" si="0"/>
        <v>53.467232745482256</v>
      </c>
      <c r="G30" s="36"/>
      <c r="H30" s="36"/>
      <c r="I30" s="40"/>
      <c r="K30" s="35"/>
    </row>
    <row r="31" spans="1:12" x14ac:dyDescent="0.2">
      <c r="A31" s="15" t="s">
        <v>32</v>
      </c>
      <c r="B31" s="44">
        <v>200</v>
      </c>
      <c r="C31" s="44">
        <v>200</v>
      </c>
      <c r="D31" s="44">
        <v>44</v>
      </c>
      <c r="E31" s="44">
        <v>8.8000000000000007</v>
      </c>
      <c r="F31" s="44">
        <f t="shared" si="0"/>
        <v>0.23949488351839759</v>
      </c>
      <c r="G31" s="36"/>
      <c r="H31" s="36"/>
      <c r="I31" s="40"/>
      <c r="K31" s="35"/>
    </row>
    <row r="32" spans="1:12" x14ac:dyDescent="0.2">
      <c r="A32" s="15" t="s">
        <v>33</v>
      </c>
      <c r="B32" s="24">
        <v>17500</v>
      </c>
      <c r="C32" s="25">
        <v>17485</v>
      </c>
      <c r="D32" s="30">
        <v>36.625679153560192</v>
      </c>
      <c r="E32" s="26">
        <v>640.4</v>
      </c>
      <c r="F32" s="33">
        <f t="shared" si="0"/>
        <v>17.42869584149793</v>
      </c>
      <c r="G32" s="36"/>
      <c r="H32" s="36"/>
      <c r="I32" s="40"/>
      <c r="K32" s="35"/>
    </row>
    <row r="33" spans="1:12" x14ac:dyDescent="0.2">
      <c r="A33" s="15" t="s">
        <v>34</v>
      </c>
      <c r="B33" s="24">
        <v>24000</v>
      </c>
      <c r="C33" s="25">
        <v>23979</v>
      </c>
      <c r="D33" s="30">
        <v>33.737853955544438</v>
      </c>
      <c r="E33" s="26">
        <v>809</v>
      </c>
      <c r="F33" s="33">
        <f t="shared" si="0"/>
        <v>22.017200087089048</v>
      </c>
      <c r="G33" s="36"/>
      <c r="H33" s="36"/>
      <c r="I33" s="40"/>
      <c r="K33" s="35"/>
    </row>
    <row r="34" spans="1:12" x14ac:dyDescent="0.2">
      <c r="A34" s="15" t="s">
        <v>35</v>
      </c>
      <c r="B34" s="24">
        <v>22600</v>
      </c>
      <c r="C34" s="25">
        <v>22580</v>
      </c>
      <c r="D34" s="30">
        <v>37.302922940655449</v>
      </c>
      <c r="E34" s="26">
        <v>842.3</v>
      </c>
      <c r="F34" s="33">
        <f t="shared" si="0"/>
        <v>22.923470498584802</v>
      </c>
      <c r="G34" s="36"/>
      <c r="H34" s="36"/>
      <c r="I34" s="40"/>
      <c r="K34" s="35"/>
    </row>
    <row r="35" spans="1:12" s="5" customFormat="1" ht="15" x14ac:dyDescent="0.25">
      <c r="A35" s="16" t="s">
        <v>36</v>
      </c>
      <c r="B35" s="27">
        <f>SUM(B25:B34)</f>
        <v>230700</v>
      </c>
      <c r="C35" s="27">
        <f>SUM(C25:C34)</f>
        <v>230500</v>
      </c>
      <c r="D35" s="31">
        <v>38.841214750542299</v>
      </c>
      <c r="E35" s="27">
        <f>SUM(E25:E34)</f>
        <v>8952.9</v>
      </c>
      <c r="F35" s="34">
        <f t="shared" si="0"/>
        <v>243.65610711952971</v>
      </c>
      <c r="G35" s="37"/>
      <c r="H35" s="37"/>
      <c r="I35" s="41"/>
      <c r="K35" s="35"/>
      <c r="L35" s="1"/>
    </row>
    <row r="36" spans="1:12" x14ac:dyDescent="0.2">
      <c r="A36" s="15" t="s">
        <v>37</v>
      </c>
      <c r="B36" s="24">
        <v>8910</v>
      </c>
      <c r="C36" s="25">
        <v>8841</v>
      </c>
      <c r="D36" s="30">
        <v>41.814274403348037</v>
      </c>
      <c r="E36" s="26">
        <v>369.68</v>
      </c>
      <c r="F36" s="33">
        <f t="shared" si="0"/>
        <v>10.060962333986501</v>
      </c>
      <c r="G36" s="36"/>
      <c r="H36" s="36"/>
      <c r="I36" s="40"/>
      <c r="K36" s="35"/>
    </row>
    <row r="37" spans="1:12" x14ac:dyDescent="0.2">
      <c r="A37" s="15" t="s">
        <v>38</v>
      </c>
      <c r="B37" s="24">
        <v>23850</v>
      </c>
      <c r="C37" s="25">
        <v>23665</v>
      </c>
      <c r="D37" s="30">
        <v>36.95710965560955</v>
      </c>
      <c r="E37" s="26">
        <v>874.59</v>
      </c>
      <c r="F37" s="33">
        <f t="shared" si="0"/>
        <v>23.802253429131287</v>
      </c>
      <c r="G37" s="36"/>
      <c r="H37" s="36"/>
      <c r="I37" s="40"/>
      <c r="K37" s="35"/>
    </row>
    <row r="38" spans="1:12" x14ac:dyDescent="0.2">
      <c r="A38" s="15" t="s">
        <v>39</v>
      </c>
      <c r="B38" s="24">
        <v>42260</v>
      </c>
      <c r="C38" s="25">
        <v>41933</v>
      </c>
      <c r="D38" s="30">
        <v>37.079388548398633</v>
      </c>
      <c r="E38" s="26">
        <v>1554.85</v>
      </c>
      <c r="F38" s="33">
        <f t="shared" si="0"/>
        <v>42.315752231656866</v>
      </c>
      <c r="G38" s="36"/>
      <c r="H38" s="36"/>
      <c r="I38" s="40"/>
      <c r="K38" s="35"/>
    </row>
    <row r="39" spans="1:12" x14ac:dyDescent="0.2">
      <c r="A39" s="15" t="s">
        <v>40</v>
      </c>
      <c r="B39" s="24">
        <v>16360</v>
      </c>
      <c r="C39" s="25">
        <v>16233</v>
      </c>
      <c r="D39" s="30">
        <v>47.532187519250911</v>
      </c>
      <c r="E39" s="26">
        <v>771.59</v>
      </c>
      <c r="F39" s="33">
        <f t="shared" si="0"/>
        <v>20.999074678859134</v>
      </c>
      <c r="G39" s="36"/>
      <c r="H39" s="36"/>
      <c r="I39" s="40"/>
      <c r="K39" s="35"/>
    </row>
    <row r="40" spans="1:12" x14ac:dyDescent="0.2">
      <c r="A40" s="15" t="s">
        <v>41</v>
      </c>
      <c r="B40" s="24">
        <v>66500</v>
      </c>
      <c r="C40" s="25">
        <v>65985</v>
      </c>
      <c r="D40" s="30">
        <v>38.957338789118737</v>
      </c>
      <c r="E40" s="26">
        <v>2570.6</v>
      </c>
      <c r="F40" s="33">
        <f t="shared" si="0"/>
        <v>69.959721315044632</v>
      </c>
      <c r="G40" s="36"/>
      <c r="H40" s="36"/>
      <c r="I40" s="40"/>
      <c r="K40" s="35"/>
    </row>
    <row r="41" spans="1:12" x14ac:dyDescent="0.2">
      <c r="A41" s="15" t="s">
        <v>42</v>
      </c>
      <c r="B41" s="24">
        <v>111550</v>
      </c>
      <c r="C41" s="25">
        <v>110686</v>
      </c>
      <c r="D41" s="30">
        <v>37.022116618181158</v>
      </c>
      <c r="E41" s="26">
        <v>4097.83</v>
      </c>
      <c r="F41" s="33">
        <f t="shared" si="0"/>
        <v>111.5237861963858</v>
      </c>
      <c r="G41" s="36"/>
      <c r="H41" s="36"/>
      <c r="I41" s="40"/>
      <c r="K41" s="35"/>
    </row>
    <row r="42" spans="1:12" x14ac:dyDescent="0.2">
      <c r="A42" s="15" t="s">
        <v>43</v>
      </c>
      <c r="B42" s="24">
        <v>30240</v>
      </c>
      <c r="C42" s="25">
        <v>30006</v>
      </c>
      <c r="D42" s="30">
        <v>39.77771112444178</v>
      </c>
      <c r="E42" s="26">
        <v>1193.57</v>
      </c>
      <c r="F42" s="33">
        <f t="shared" si="0"/>
        <v>32.483398650119746</v>
      </c>
      <c r="G42" s="36"/>
      <c r="H42" s="36"/>
      <c r="I42" s="40"/>
      <c r="K42" s="35"/>
    </row>
    <row r="43" spans="1:12" x14ac:dyDescent="0.2">
      <c r="A43" s="15" t="s">
        <v>44</v>
      </c>
      <c r="B43" s="24">
        <v>204031</v>
      </c>
      <c r="C43" s="25">
        <v>202451</v>
      </c>
      <c r="D43" s="30">
        <v>45.069127838341132</v>
      </c>
      <c r="E43" s="26">
        <v>9124.2900000000009</v>
      </c>
      <c r="F43" s="33">
        <f t="shared" si="0"/>
        <v>248.32054212932727</v>
      </c>
      <c r="G43" s="36"/>
      <c r="H43" s="36"/>
      <c r="I43" s="40"/>
      <c r="K43" s="35"/>
    </row>
    <row r="44" spans="1:12" s="5" customFormat="1" ht="15" x14ac:dyDescent="0.25">
      <c r="A44" s="16" t="s">
        <v>45</v>
      </c>
      <c r="B44" s="27">
        <f>SUM(B36:B43)</f>
        <v>503701</v>
      </c>
      <c r="C44" s="27">
        <f>SUM(C36:C43)</f>
        <v>499800</v>
      </c>
      <c r="D44" s="31">
        <v>41.130452180872346</v>
      </c>
      <c r="E44" s="27">
        <f>SUM(E36:E43)</f>
        <v>20557</v>
      </c>
      <c r="F44" s="34">
        <f t="shared" si="0"/>
        <v>559.46549096451122</v>
      </c>
      <c r="G44" s="37"/>
      <c r="H44" s="37"/>
      <c r="I44" s="41"/>
      <c r="K44" s="35"/>
      <c r="L44" s="1"/>
    </row>
    <row r="45" spans="1:12" x14ac:dyDescent="0.2">
      <c r="A45" s="15" t="s">
        <v>46</v>
      </c>
      <c r="B45" s="44">
        <v>100</v>
      </c>
      <c r="C45" s="44">
        <v>100</v>
      </c>
      <c r="D45" s="44">
        <v>33.4</v>
      </c>
      <c r="E45" s="44">
        <v>3.34</v>
      </c>
      <c r="F45" s="44">
        <f t="shared" si="0"/>
        <v>9.0899194426300886E-2</v>
      </c>
      <c r="G45" s="36"/>
      <c r="H45" s="36"/>
      <c r="I45" s="40"/>
      <c r="K45" s="35"/>
    </row>
    <row r="46" spans="1:12" x14ac:dyDescent="0.2">
      <c r="A46" s="15" t="s">
        <v>47</v>
      </c>
      <c r="B46" s="44">
        <v>0</v>
      </c>
      <c r="C46" s="44">
        <v>0</v>
      </c>
      <c r="D46" s="44" t="s">
        <v>65</v>
      </c>
      <c r="E46" s="44">
        <v>0</v>
      </c>
      <c r="F46" s="44">
        <f t="shared" si="0"/>
        <v>0</v>
      </c>
      <c r="G46" s="36"/>
      <c r="H46" s="36"/>
      <c r="I46" s="40"/>
      <c r="K46" s="35"/>
    </row>
    <row r="47" spans="1:12" x14ac:dyDescent="0.2">
      <c r="A47" s="17" t="s">
        <v>48</v>
      </c>
      <c r="B47" s="44">
        <v>600</v>
      </c>
      <c r="C47" s="44">
        <v>597</v>
      </c>
      <c r="D47" s="44">
        <v>27.989949748743719</v>
      </c>
      <c r="E47" s="44">
        <v>16.71</v>
      </c>
      <c r="F47" s="44">
        <f t="shared" si="0"/>
        <v>0.45476812540822992</v>
      </c>
      <c r="G47" s="36"/>
      <c r="H47" s="36"/>
      <c r="I47" s="40"/>
      <c r="K47" s="35"/>
    </row>
    <row r="48" spans="1:12" x14ac:dyDescent="0.2">
      <c r="A48" s="15" t="s">
        <v>49</v>
      </c>
      <c r="B48" s="44">
        <v>100</v>
      </c>
      <c r="C48" s="44">
        <v>100</v>
      </c>
      <c r="D48" s="44">
        <v>33.4</v>
      </c>
      <c r="E48" s="44">
        <v>3.34</v>
      </c>
      <c r="F48" s="44">
        <f t="shared" si="0"/>
        <v>9.0899194426300886E-2</v>
      </c>
      <c r="G48" s="36"/>
      <c r="H48" s="36"/>
      <c r="I48" s="40"/>
      <c r="K48" s="35"/>
    </row>
    <row r="49" spans="1:12" x14ac:dyDescent="0.2">
      <c r="A49" s="15" t="s">
        <v>50</v>
      </c>
      <c r="B49" s="44">
        <v>0</v>
      </c>
      <c r="C49" s="44">
        <v>0</v>
      </c>
      <c r="D49" s="44" t="s">
        <v>65</v>
      </c>
      <c r="E49" s="44">
        <v>0</v>
      </c>
      <c r="F49" s="44">
        <f t="shared" si="0"/>
        <v>0</v>
      </c>
      <c r="G49" s="36"/>
      <c r="H49" s="36"/>
      <c r="I49" s="40"/>
      <c r="K49" s="35"/>
    </row>
    <row r="50" spans="1:12" x14ac:dyDescent="0.2">
      <c r="A50" s="15" t="s">
        <v>51</v>
      </c>
      <c r="B50" s="26">
        <v>2700</v>
      </c>
      <c r="C50" s="25">
        <v>2687</v>
      </c>
      <c r="D50" s="30">
        <v>37.257164123557871</v>
      </c>
      <c r="E50" s="26">
        <v>100.11</v>
      </c>
      <c r="F50" s="33">
        <f t="shared" si="0"/>
        <v>2.7245264532984979</v>
      </c>
      <c r="G50" s="36"/>
      <c r="H50" s="36"/>
      <c r="I50" s="40"/>
      <c r="K50" s="35"/>
    </row>
    <row r="51" spans="1:12" x14ac:dyDescent="0.2">
      <c r="A51" s="15" t="s">
        <v>52</v>
      </c>
      <c r="B51" s="26">
        <v>8000</v>
      </c>
      <c r="C51" s="25">
        <v>7961</v>
      </c>
      <c r="D51" s="30">
        <v>31.573922874010801</v>
      </c>
      <c r="E51" s="26">
        <v>251.36</v>
      </c>
      <c r="F51" s="33">
        <f t="shared" si="0"/>
        <v>6.8408447637709564</v>
      </c>
      <c r="G51" s="36"/>
      <c r="H51" s="36"/>
      <c r="I51" s="40"/>
      <c r="K51" s="35"/>
    </row>
    <row r="52" spans="1:12" x14ac:dyDescent="0.2">
      <c r="A52" s="15" t="s">
        <v>53</v>
      </c>
      <c r="B52" s="44">
        <v>300</v>
      </c>
      <c r="C52" s="44">
        <v>299</v>
      </c>
      <c r="D52" s="44">
        <v>27.926421404682273</v>
      </c>
      <c r="E52" s="44">
        <v>8.35</v>
      </c>
      <c r="F52" s="44">
        <f t="shared" si="0"/>
        <v>0.22724798606575222</v>
      </c>
      <c r="G52" s="36"/>
      <c r="H52" s="36"/>
      <c r="I52" s="40"/>
      <c r="K52" s="35"/>
    </row>
    <row r="53" spans="1:12" x14ac:dyDescent="0.2">
      <c r="A53" s="15" t="s">
        <v>54</v>
      </c>
      <c r="B53" s="44">
        <v>600</v>
      </c>
      <c r="C53" s="44">
        <v>597</v>
      </c>
      <c r="D53" s="44">
        <v>27.989949748743719</v>
      </c>
      <c r="E53" s="44">
        <v>16.71</v>
      </c>
      <c r="F53" s="44">
        <f t="shared" si="0"/>
        <v>0.45476812540822992</v>
      </c>
      <c r="G53" s="36"/>
      <c r="H53" s="36"/>
      <c r="I53" s="40"/>
      <c r="K53" s="35"/>
    </row>
    <row r="54" spans="1:12" x14ac:dyDescent="0.2">
      <c r="A54" s="15" t="s">
        <v>55</v>
      </c>
      <c r="B54" s="24">
        <v>24500</v>
      </c>
      <c r="C54" s="25">
        <v>24380</v>
      </c>
      <c r="D54" s="30">
        <v>28.264150943396228</v>
      </c>
      <c r="E54" s="26">
        <v>689.08</v>
      </c>
      <c r="F54" s="33">
        <f t="shared" si="0"/>
        <v>18.753537992597433</v>
      </c>
      <c r="G54" s="36"/>
      <c r="H54" s="36"/>
      <c r="I54" s="40"/>
      <c r="K54" s="35"/>
    </row>
    <row r="55" spans="1:12" s="5" customFormat="1" ht="15" x14ac:dyDescent="0.25">
      <c r="A55" s="16" t="s">
        <v>56</v>
      </c>
      <c r="B55" s="27">
        <f>SUM(B45:B54)</f>
        <v>36900</v>
      </c>
      <c r="C55" s="27">
        <f>SUM(C45:C54)</f>
        <v>36721</v>
      </c>
      <c r="D55" s="31">
        <v>29.656055118324666</v>
      </c>
      <c r="E55" s="27">
        <f>SUM(E45:E54)</f>
        <v>1089</v>
      </c>
      <c r="F55" s="34">
        <f t="shared" si="0"/>
        <v>29.637491835401697</v>
      </c>
      <c r="G55" s="37"/>
      <c r="H55" s="37"/>
      <c r="I55" s="41"/>
      <c r="K55" s="35"/>
      <c r="L55" s="1"/>
    </row>
    <row r="56" spans="1:12" s="5" customFormat="1" ht="15.75" thickBot="1" x14ac:dyDescent="0.3">
      <c r="A56" s="18" t="s">
        <v>0</v>
      </c>
      <c r="B56" s="27">
        <v>3075000</v>
      </c>
      <c r="C56" s="28">
        <v>3060000</v>
      </c>
      <c r="D56" s="31">
        <v>45.588279027025649</v>
      </c>
      <c r="E56" s="29">
        <v>139500</v>
      </c>
      <c r="F56" s="34">
        <f t="shared" si="0"/>
        <v>3796.5382103200523</v>
      </c>
      <c r="G56" s="37"/>
      <c r="H56" s="37"/>
      <c r="I56" s="41"/>
      <c r="K56" s="35"/>
      <c r="L56" s="1"/>
    </row>
    <row r="57" spans="1:12" s="5" customFormat="1" ht="15" x14ac:dyDescent="0.25">
      <c r="B57" s="6"/>
      <c r="C57" s="6"/>
      <c r="D57" s="6"/>
      <c r="E57" s="6"/>
      <c r="F57" s="6"/>
      <c r="I57" s="42"/>
    </row>
    <row r="58" spans="1:12" s="9" customFormat="1" x14ac:dyDescent="0.2">
      <c r="A58" s="8"/>
      <c r="B58" s="19"/>
      <c r="C58" s="19"/>
      <c r="D58" s="20"/>
      <c r="E58" s="20"/>
      <c r="F58" s="19"/>
      <c r="I58" s="43"/>
    </row>
    <row r="59" spans="1:12" ht="210.75" customHeight="1" x14ac:dyDescent="0.2">
      <c r="A59" s="23" t="s">
        <v>58</v>
      </c>
      <c r="B59" s="23"/>
      <c r="C59" s="23"/>
      <c r="D59" s="23"/>
      <c r="E59" s="23"/>
      <c r="F59" s="23"/>
    </row>
    <row r="60" spans="1:12" ht="15" x14ac:dyDescent="0.25">
      <c r="A60" s="10" t="s">
        <v>60</v>
      </c>
      <c r="B60" s="3"/>
      <c r="C60" s="3"/>
      <c r="D60" s="4"/>
      <c r="E60" s="4"/>
      <c r="F60" s="3"/>
    </row>
    <row r="61" spans="1:12" x14ac:dyDescent="0.2">
      <c r="A61" s="45" t="s">
        <v>66</v>
      </c>
      <c r="B61" s="3"/>
      <c r="C61" s="3"/>
      <c r="D61" s="4"/>
      <c r="E61" s="4"/>
      <c r="F61" s="3"/>
    </row>
    <row r="62" spans="1:12" x14ac:dyDescent="0.2">
      <c r="A62" s="2"/>
      <c r="B62" s="3"/>
      <c r="C62" s="3"/>
      <c r="D62" s="4"/>
      <c r="E62" s="4"/>
      <c r="F62" s="3"/>
    </row>
    <row r="63" spans="1:12" x14ac:dyDescent="0.2">
      <c r="A63" s="2"/>
      <c r="B63" s="3"/>
      <c r="C63" s="3"/>
      <c r="D63" s="4"/>
      <c r="E63" s="4"/>
      <c r="F63" s="3"/>
    </row>
    <row r="64" spans="1:12" x14ac:dyDescent="0.2">
      <c r="A64" s="2"/>
      <c r="B64" s="3"/>
      <c r="C64" s="3"/>
      <c r="D64" s="4"/>
      <c r="E64" s="4"/>
      <c r="F64" s="3"/>
    </row>
    <row r="65" spans="1:6" x14ac:dyDescent="0.2">
      <c r="A65" s="2"/>
      <c r="B65" s="3"/>
      <c r="C65" s="3"/>
      <c r="D65" s="4"/>
      <c r="E65" s="4"/>
      <c r="F65" s="3"/>
    </row>
    <row r="66" spans="1:6" x14ac:dyDescent="0.2">
      <c r="A66" s="2"/>
      <c r="B66" s="3"/>
      <c r="C66" s="3"/>
      <c r="D66" s="4"/>
      <c r="E66" s="4"/>
      <c r="F66" s="3"/>
    </row>
    <row r="67" spans="1:6" x14ac:dyDescent="0.2">
      <c r="A67" s="2"/>
      <c r="B67" s="3"/>
      <c r="C67" s="3"/>
      <c r="D67" s="4"/>
      <c r="E67" s="4"/>
      <c r="F67" s="3"/>
    </row>
    <row r="68" spans="1:6" x14ac:dyDescent="0.2">
      <c r="A68" s="2"/>
      <c r="B68" s="3"/>
      <c r="C68" s="3"/>
      <c r="D68" s="4"/>
      <c r="E68" s="4"/>
      <c r="F68" s="3"/>
    </row>
    <row r="69" spans="1:6" x14ac:dyDescent="0.2">
      <c r="A69" s="2"/>
      <c r="B69" s="3"/>
      <c r="C69" s="3"/>
      <c r="D69" s="4"/>
      <c r="E69" s="4"/>
      <c r="F69" s="3"/>
    </row>
    <row r="70" spans="1:6" x14ac:dyDescent="0.2">
      <c r="A70" s="2"/>
      <c r="B70" s="3"/>
      <c r="C70" s="3"/>
      <c r="D70" s="4"/>
      <c r="E70" s="4"/>
      <c r="F70" s="3"/>
    </row>
    <row r="71" spans="1:6" x14ac:dyDescent="0.2">
      <c r="A71" s="2"/>
      <c r="B71" s="3"/>
      <c r="C71" s="3"/>
      <c r="D71" s="4"/>
      <c r="E71" s="4"/>
      <c r="F71" s="3"/>
    </row>
    <row r="72" spans="1:6" x14ac:dyDescent="0.2">
      <c r="A72" s="2"/>
      <c r="B72" s="3"/>
      <c r="C72" s="3"/>
      <c r="D72" s="4"/>
      <c r="E72" s="4"/>
      <c r="F72" s="3"/>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row>
    <row r="84" spans="1:6" x14ac:dyDescent="0.2">
      <c r="A84" s="2"/>
    </row>
    <row r="85" spans="1:6" x14ac:dyDescent="0.2">
      <c r="A85" s="2"/>
    </row>
    <row r="86" spans="1:6" x14ac:dyDescent="0.2">
      <c r="A86" s="2"/>
    </row>
    <row r="87" spans="1:6" x14ac:dyDescent="0.2">
      <c r="A87" s="2"/>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8F6B1-4123-457D-82C9-F68AA52A9C24}">
  <dimension ref="A1:F87"/>
  <sheetViews>
    <sheetView workbookViewId="0">
      <selection activeCell="B3" sqref="B3:F56"/>
    </sheetView>
  </sheetViews>
  <sheetFormatPr defaultColWidth="20.6640625" defaultRowHeight="15" x14ac:dyDescent="0.2"/>
  <cols>
    <col min="1" max="1" width="34.5546875" style="1" customWidth="1"/>
    <col min="2" max="2" width="13.77734375" style="1" customWidth="1"/>
    <col min="3" max="3" width="13.109375" style="1" customWidth="1"/>
    <col min="4" max="5" width="15.33203125" style="1" customWidth="1"/>
    <col min="6" max="6" width="14.6640625" style="1" customWidth="1"/>
  </cols>
  <sheetData>
    <row r="1" spans="1:6" ht="16.5" thickBot="1" x14ac:dyDescent="0.3">
      <c r="A1" s="21" t="s">
        <v>67</v>
      </c>
      <c r="B1" s="22"/>
      <c r="C1" s="22"/>
      <c r="D1" s="22"/>
      <c r="E1" s="22"/>
      <c r="F1" s="22"/>
    </row>
    <row r="2" spans="1:6" ht="30.75" thickBot="1" x14ac:dyDescent="0.3">
      <c r="A2" s="11"/>
      <c r="B2" s="12" t="s">
        <v>59</v>
      </c>
      <c r="C2" s="12" t="s">
        <v>57</v>
      </c>
      <c r="D2" s="13" t="s">
        <v>3</v>
      </c>
      <c r="E2" s="14" t="s">
        <v>1</v>
      </c>
      <c r="F2" s="32" t="s">
        <v>2</v>
      </c>
    </row>
    <row r="3" spans="1:6" x14ac:dyDescent="0.2">
      <c r="A3" s="15" t="s">
        <v>4</v>
      </c>
      <c r="B3" s="24">
        <v>49100</v>
      </c>
      <c r="C3" s="25">
        <v>49100</v>
      </c>
      <c r="D3" s="30">
        <v>43.549898167006113</v>
      </c>
      <c r="E3" s="26">
        <v>2138.3000000000002</v>
      </c>
      <c r="F3" s="33">
        <v>58.194535162203358</v>
      </c>
    </row>
    <row r="4" spans="1:6" x14ac:dyDescent="0.2">
      <c r="A4" s="15" t="s">
        <v>5</v>
      </c>
      <c r="B4" s="24">
        <v>202700</v>
      </c>
      <c r="C4" s="25">
        <v>202700</v>
      </c>
      <c r="D4" s="30">
        <v>53.78687715836211</v>
      </c>
      <c r="E4" s="26">
        <v>10902.6</v>
      </c>
      <c r="F4" s="33">
        <v>296.71783148269105</v>
      </c>
    </row>
    <row r="5" spans="1:6" x14ac:dyDescent="0.2">
      <c r="A5" s="15" t="s">
        <v>6</v>
      </c>
      <c r="B5" s="24">
        <v>108300</v>
      </c>
      <c r="C5" s="25">
        <v>108300</v>
      </c>
      <c r="D5" s="30">
        <v>56.380424746075718</v>
      </c>
      <c r="E5" s="26">
        <v>6106</v>
      </c>
      <c r="F5" s="33">
        <v>166.17679076856086</v>
      </c>
    </row>
    <row r="6" spans="1:6" x14ac:dyDescent="0.2">
      <c r="A6" s="15" t="s">
        <v>7</v>
      </c>
      <c r="B6" s="24">
        <v>207600</v>
      </c>
      <c r="C6" s="25">
        <v>207600</v>
      </c>
      <c r="D6" s="30">
        <v>52.02938342967245</v>
      </c>
      <c r="E6" s="26">
        <v>10801.3</v>
      </c>
      <c r="F6" s="33">
        <v>293.9609187894622</v>
      </c>
    </row>
    <row r="7" spans="1:6" x14ac:dyDescent="0.2">
      <c r="A7" s="15" t="s">
        <v>8</v>
      </c>
      <c r="B7" s="24">
        <v>146800</v>
      </c>
      <c r="C7" s="25">
        <v>145700</v>
      </c>
      <c r="D7" s="30">
        <v>32.706932052161974</v>
      </c>
      <c r="E7" s="26">
        <v>4765.3999999999996</v>
      </c>
      <c r="F7" s="33">
        <v>129.69192249074678</v>
      </c>
    </row>
    <row r="8" spans="1:6" x14ac:dyDescent="0.2">
      <c r="A8" s="15" t="s">
        <v>9</v>
      </c>
      <c r="B8" s="24">
        <v>23700</v>
      </c>
      <c r="C8" s="25">
        <v>23300</v>
      </c>
      <c r="D8" s="30">
        <v>40.150214592274679</v>
      </c>
      <c r="E8" s="26">
        <v>935.5</v>
      </c>
      <c r="F8" s="33">
        <v>25.459939037666015</v>
      </c>
    </row>
    <row r="9" spans="1:6" x14ac:dyDescent="0.2">
      <c r="A9" s="15" t="s">
        <v>10</v>
      </c>
      <c r="B9" s="24">
        <v>242200</v>
      </c>
      <c r="C9" s="25">
        <v>242200</v>
      </c>
      <c r="D9" s="30">
        <v>53.5532617671346</v>
      </c>
      <c r="E9" s="26">
        <v>12970.6</v>
      </c>
      <c r="F9" s="33">
        <v>352.99912910951451</v>
      </c>
    </row>
    <row r="10" spans="1:6" x14ac:dyDescent="0.2">
      <c r="A10" s="15" t="s">
        <v>11</v>
      </c>
      <c r="B10" s="24">
        <v>150200</v>
      </c>
      <c r="C10" s="25">
        <v>150200</v>
      </c>
      <c r="D10" s="30">
        <v>53.394806924101196</v>
      </c>
      <c r="E10" s="26">
        <v>8019.9</v>
      </c>
      <c r="F10" s="33">
        <v>218.26420640104507</v>
      </c>
    </row>
    <row r="11" spans="1:6" x14ac:dyDescent="0.2">
      <c r="A11" s="15" t="s">
        <v>12</v>
      </c>
      <c r="B11" s="24">
        <v>67600</v>
      </c>
      <c r="C11" s="25">
        <v>66700</v>
      </c>
      <c r="D11" s="30">
        <v>33.511244377811096</v>
      </c>
      <c r="E11" s="26">
        <v>2235.1999999999998</v>
      </c>
      <c r="F11" s="33">
        <v>60.831700413672976</v>
      </c>
    </row>
    <row r="12" spans="1:6" x14ac:dyDescent="0.2">
      <c r="A12" s="15" t="s">
        <v>13</v>
      </c>
      <c r="B12" s="24">
        <v>126600</v>
      </c>
      <c r="C12" s="25">
        <v>126600</v>
      </c>
      <c r="D12" s="30">
        <v>52.773301737756711</v>
      </c>
      <c r="E12" s="26">
        <v>6681.1</v>
      </c>
      <c r="F12" s="33">
        <v>181.82832571304161</v>
      </c>
    </row>
    <row r="13" spans="1:6" ht="15.75" x14ac:dyDescent="0.25">
      <c r="A13" s="16" t="s">
        <v>14</v>
      </c>
      <c r="B13" s="27">
        <v>1324800</v>
      </c>
      <c r="C13" s="27">
        <v>1322400</v>
      </c>
      <c r="D13" s="31">
        <v>49.573427102238355</v>
      </c>
      <c r="E13" s="27">
        <v>65555.899999999994</v>
      </c>
      <c r="F13" s="34">
        <v>1784.1252993686041</v>
      </c>
    </row>
    <row r="14" spans="1:6" x14ac:dyDescent="0.2">
      <c r="A14" s="15" t="s">
        <v>15</v>
      </c>
      <c r="B14" s="24">
        <v>79800</v>
      </c>
      <c r="C14" s="25">
        <v>79800</v>
      </c>
      <c r="D14" s="30">
        <v>46.493734335839598</v>
      </c>
      <c r="E14" s="26">
        <v>3710.2</v>
      </c>
      <c r="F14" s="33">
        <v>100.97430873067711</v>
      </c>
    </row>
    <row r="15" spans="1:6" x14ac:dyDescent="0.2">
      <c r="A15" s="15" t="s">
        <v>16</v>
      </c>
      <c r="B15" s="24">
        <v>30600</v>
      </c>
      <c r="C15" s="25">
        <v>30400</v>
      </c>
      <c r="D15" s="30">
        <v>37.48026315789474</v>
      </c>
      <c r="E15" s="26">
        <v>1139.4000000000001</v>
      </c>
      <c r="F15" s="33">
        <v>31.009144350097976</v>
      </c>
    </row>
    <row r="16" spans="1:6" x14ac:dyDescent="0.2">
      <c r="A16" s="15" t="s">
        <v>17</v>
      </c>
      <c r="B16" s="24">
        <v>42800</v>
      </c>
      <c r="C16" s="25">
        <v>42800</v>
      </c>
      <c r="D16" s="30">
        <v>39.841121495327101</v>
      </c>
      <c r="E16" s="26">
        <v>1705.2</v>
      </c>
      <c r="F16" s="33">
        <v>46.407576747224041</v>
      </c>
    </row>
    <row r="17" spans="1:6" x14ac:dyDescent="0.2">
      <c r="A17" s="15" t="s">
        <v>18</v>
      </c>
      <c r="B17" s="24">
        <v>14170</v>
      </c>
      <c r="C17" s="25">
        <v>14200</v>
      </c>
      <c r="D17" s="30">
        <v>34.781690140845072</v>
      </c>
      <c r="E17" s="26">
        <v>493.9</v>
      </c>
      <c r="F17" s="33">
        <v>13.441650337470062</v>
      </c>
    </row>
    <row r="18" spans="1:6" x14ac:dyDescent="0.2">
      <c r="A18" s="15" t="s">
        <v>19</v>
      </c>
      <c r="B18" s="24">
        <v>192070</v>
      </c>
      <c r="C18" s="25">
        <v>192100</v>
      </c>
      <c r="D18" s="30">
        <v>49.056741280583033</v>
      </c>
      <c r="E18" s="26">
        <v>9423.7999999999993</v>
      </c>
      <c r="F18" s="33">
        <v>256.47180492053121</v>
      </c>
    </row>
    <row r="19" spans="1:6" x14ac:dyDescent="0.2">
      <c r="A19" s="15" t="s">
        <v>20</v>
      </c>
      <c r="B19" s="24">
        <v>17600</v>
      </c>
      <c r="C19" s="25">
        <v>17000</v>
      </c>
      <c r="D19" s="30">
        <v>26</v>
      </c>
      <c r="E19" s="26">
        <v>442</v>
      </c>
      <c r="F19" s="33">
        <v>12.029174831264969</v>
      </c>
    </row>
    <row r="20" spans="1:6" x14ac:dyDescent="0.2">
      <c r="A20" s="15" t="s">
        <v>21</v>
      </c>
      <c r="B20" s="24">
        <v>116370</v>
      </c>
      <c r="C20" s="25">
        <v>116400</v>
      </c>
      <c r="D20" s="30">
        <v>52.146907216494846</v>
      </c>
      <c r="E20" s="26">
        <v>6069.9</v>
      </c>
      <c r="F20" s="33">
        <v>165.19431743958197</v>
      </c>
    </row>
    <row r="21" spans="1:6" x14ac:dyDescent="0.2">
      <c r="A21" s="15" t="s">
        <v>22</v>
      </c>
      <c r="B21" s="24">
        <v>128570</v>
      </c>
      <c r="C21" s="25">
        <v>128600</v>
      </c>
      <c r="D21" s="30">
        <v>36.884914463452567</v>
      </c>
      <c r="E21" s="26">
        <v>4743.3999999999996</v>
      </c>
      <c r="F21" s="33">
        <v>129.09318528195078</v>
      </c>
    </row>
    <row r="22" spans="1:6" x14ac:dyDescent="0.2">
      <c r="A22" s="15" t="s">
        <v>23</v>
      </c>
      <c r="B22" s="24">
        <v>28610</v>
      </c>
      <c r="C22" s="25">
        <v>28600</v>
      </c>
      <c r="D22" s="30">
        <v>42.75874125874126</v>
      </c>
      <c r="E22" s="26">
        <v>1222.9000000000001</v>
      </c>
      <c r="F22" s="33">
        <v>33.281624210755503</v>
      </c>
    </row>
    <row r="23" spans="1:6" x14ac:dyDescent="0.2">
      <c r="A23" s="15" t="s">
        <v>24</v>
      </c>
      <c r="B23" s="24">
        <v>116540</v>
      </c>
      <c r="C23" s="25">
        <v>116500</v>
      </c>
      <c r="D23" s="30">
        <v>46.131330472103002</v>
      </c>
      <c r="E23" s="26">
        <v>5374.3</v>
      </c>
      <c r="F23" s="33">
        <v>146.26333551055956</v>
      </c>
    </row>
    <row r="24" spans="1:6" ht="15.75" x14ac:dyDescent="0.25">
      <c r="A24" s="16" t="s">
        <v>25</v>
      </c>
      <c r="B24" s="27">
        <v>767130</v>
      </c>
      <c r="C24" s="27">
        <v>766400</v>
      </c>
      <c r="D24" s="31">
        <v>44.787317327766182</v>
      </c>
      <c r="E24" s="27">
        <v>34325</v>
      </c>
      <c r="F24" s="34">
        <v>934.16612236011326</v>
      </c>
    </row>
    <row r="25" spans="1:6" x14ac:dyDescent="0.2">
      <c r="A25" s="15" t="s">
        <v>26</v>
      </c>
      <c r="B25" s="24">
        <v>61900</v>
      </c>
      <c r="C25" s="25">
        <v>61900</v>
      </c>
      <c r="D25" s="30">
        <v>36.439418416801296</v>
      </c>
      <c r="E25" s="26">
        <v>2255.6</v>
      </c>
      <c r="F25" s="33">
        <v>61.3868930981929</v>
      </c>
    </row>
    <row r="26" spans="1:6" x14ac:dyDescent="0.2">
      <c r="A26" s="15" t="s">
        <v>27</v>
      </c>
      <c r="B26" s="44">
        <v>0</v>
      </c>
      <c r="C26" s="44">
        <v>0</v>
      </c>
      <c r="D26" s="44" t="s">
        <v>65</v>
      </c>
      <c r="E26" s="44">
        <v>0</v>
      </c>
      <c r="F26" s="44">
        <v>0</v>
      </c>
    </row>
    <row r="27" spans="1:6" x14ac:dyDescent="0.2">
      <c r="A27" s="15" t="s">
        <v>28</v>
      </c>
      <c r="B27" s="24">
        <v>16300</v>
      </c>
      <c r="C27" s="25">
        <v>16200</v>
      </c>
      <c r="D27" s="30">
        <v>30.246913580246915</v>
      </c>
      <c r="E27" s="26">
        <v>490</v>
      </c>
      <c r="F27" s="33">
        <v>13.335510559547137</v>
      </c>
    </row>
    <row r="28" spans="1:6" x14ac:dyDescent="0.2">
      <c r="A28" s="15" t="s">
        <v>29</v>
      </c>
      <c r="B28" s="24">
        <v>32600</v>
      </c>
      <c r="C28" s="25">
        <v>32400</v>
      </c>
      <c r="D28" s="30">
        <v>31.910493827160494</v>
      </c>
      <c r="E28" s="26">
        <v>1033.9000000000001</v>
      </c>
      <c r="F28" s="33">
        <v>28.137927280644462</v>
      </c>
    </row>
    <row r="29" spans="1:6" x14ac:dyDescent="0.2">
      <c r="A29" s="15" t="s">
        <v>30</v>
      </c>
      <c r="B29" s="44">
        <v>0</v>
      </c>
      <c r="C29" s="44">
        <v>0</v>
      </c>
      <c r="D29" s="44" t="s">
        <v>65</v>
      </c>
      <c r="E29" s="44">
        <v>0</v>
      </c>
      <c r="F29" s="44">
        <v>0</v>
      </c>
    </row>
    <row r="30" spans="1:6" x14ac:dyDescent="0.2">
      <c r="A30" s="15" t="s">
        <v>31</v>
      </c>
      <c r="B30" s="24">
        <v>42300</v>
      </c>
      <c r="C30" s="25">
        <v>42300</v>
      </c>
      <c r="D30" s="30">
        <v>31.794326241134751</v>
      </c>
      <c r="E30" s="26">
        <v>1344.9</v>
      </c>
      <c r="F30" s="33">
        <v>36.601894186806014</v>
      </c>
    </row>
    <row r="31" spans="1:6" x14ac:dyDescent="0.2">
      <c r="A31" s="15" t="s">
        <v>32</v>
      </c>
      <c r="B31" s="44">
        <v>0</v>
      </c>
      <c r="C31" s="44">
        <v>0</v>
      </c>
      <c r="D31" s="44" t="s">
        <v>65</v>
      </c>
      <c r="E31" s="44">
        <v>0</v>
      </c>
      <c r="F31" s="44">
        <v>0</v>
      </c>
    </row>
    <row r="32" spans="1:6" x14ac:dyDescent="0.2">
      <c r="A32" s="15" t="s">
        <v>33</v>
      </c>
      <c r="B32" s="24">
        <v>25100</v>
      </c>
      <c r="C32" s="25">
        <v>25100</v>
      </c>
      <c r="D32" s="30">
        <v>25.900398406374503</v>
      </c>
      <c r="E32" s="26">
        <v>650.1</v>
      </c>
      <c r="F32" s="33">
        <v>17.69268451992162</v>
      </c>
    </row>
    <row r="33" spans="1:6" x14ac:dyDescent="0.2">
      <c r="A33" s="15" t="s">
        <v>34</v>
      </c>
      <c r="B33" s="24">
        <v>18900</v>
      </c>
      <c r="C33" s="25">
        <v>14400</v>
      </c>
      <c r="D33" s="30">
        <v>21.361111111111111</v>
      </c>
      <c r="E33" s="26">
        <v>307.60000000000002</v>
      </c>
      <c r="F33" s="33">
        <v>8.371434792074897</v>
      </c>
    </row>
    <row r="34" spans="1:6" x14ac:dyDescent="0.2">
      <c r="A34" s="15" t="s">
        <v>35</v>
      </c>
      <c r="B34" s="24">
        <v>17790</v>
      </c>
      <c r="C34" s="25">
        <v>17800</v>
      </c>
      <c r="D34" s="30">
        <v>39.268539325842696</v>
      </c>
      <c r="E34" s="26">
        <v>698.98</v>
      </c>
      <c r="F34" s="33">
        <v>19.022969736555631</v>
      </c>
    </row>
    <row r="35" spans="1:6" ht="15.75" x14ac:dyDescent="0.25">
      <c r="A35" s="16" t="s">
        <v>36</v>
      </c>
      <c r="B35" s="27">
        <v>214890</v>
      </c>
      <c r="C35" s="27">
        <v>210100</v>
      </c>
      <c r="D35" s="31">
        <v>32.275487862922418</v>
      </c>
      <c r="E35" s="27">
        <v>6781.08</v>
      </c>
      <c r="F35" s="34">
        <v>184.54931417374266</v>
      </c>
    </row>
    <row r="36" spans="1:6" x14ac:dyDescent="0.2">
      <c r="A36" s="15" t="s">
        <v>37</v>
      </c>
      <c r="B36" s="24">
        <v>9740</v>
      </c>
      <c r="C36" s="25">
        <v>9740</v>
      </c>
      <c r="D36" s="30">
        <v>25.151950718685832</v>
      </c>
      <c r="E36" s="26">
        <v>244.98</v>
      </c>
      <c r="F36" s="33">
        <v>6.6672109732201177</v>
      </c>
    </row>
    <row r="37" spans="1:6" x14ac:dyDescent="0.2">
      <c r="A37" s="15" t="s">
        <v>38</v>
      </c>
      <c r="B37" s="24">
        <v>9210</v>
      </c>
      <c r="C37" s="25">
        <v>9210</v>
      </c>
      <c r="D37" s="30">
        <v>43.254071661237788</v>
      </c>
      <c r="E37" s="26">
        <v>398.37</v>
      </c>
      <c r="F37" s="33">
        <v>10.841770084911822</v>
      </c>
    </row>
    <row r="38" spans="1:6" x14ac:dyDescent="0.2">
      <c r="A38" s="15" t="s">
        <v>39</v>
      </c>
      <c r="B38" s="24">
        <v>40390</v>
      </c>
      <c r="C38" s="25">
        <v>40120</v>
      </c>
      <c r="D38" s="30">
        <v>39.823529411764703</v>
      </c>
      <c r="E38" s="26">
        <v>1597.72</v>
      </c>
      <c r="F38" s="33">
        <v>43.482473328978884</v>
      </c>
    </row>
    <row r="39" spans="1:6" x14ac:dyDescent="0.2">
      <c r="A39" s="15" t="s">
        <v>40</v>
      </c>
      <c r="B39" s="24">
        <v>25930</v>
      </c>
      <c r="C39" s="25">
        <v>24240</v>
      </c>
      <c r="D39" s="30">
        <v>29.807343234323433</v>
      </c>
      <c r="E39" s="26">
        <v>722.53</v>
      </c>
      <c r="F39" s="33">
        <v>19.663890703244068</v>
      </c>
    </row>
    <row r="40" spans="1:6" x14ac:dyDescent="0.2">
      <c r="A40" s="15" t="s">
        <v>41</v>
      </c>
      <c r="B40" s="24">
        <v>48960</v>
      </c>
      <c r="C40" s="25">
        <v>48940</v>
      </c>
      <c r="D40" s="30">
        <v>46.023906824683287</v>
      </c>
      <c r="E40" s="26">
        <v>2252.41</v>
      </c>
      <c r="F40" s="33">
        <v>61.300076202917481</v>
      </c>
    </row>
    <row r="41" spans="1:6" x14ac:dyDescent="0.2">
      <c r="A41" s="15" t="s">
        <v>42</v>
      </c>
      <c r="B41" s="24">
        <v>85350</v>
      </c>
      <c r="C41" s="25">
        <v>85350</v>
      </c>
      <c r="D41" s="30">
        <v>46.795547744581135</v>
      </c>
      <c r="E41" s="26">
        <v>3994</v>
      </c>
      <c r="F41" s="33">
        <v>108.69801872414544</v>
      </c>
    </row>
    <row r="42" spans="1:6" x14ac:dyDescent="0.2">
      <c r="A42" s="15" t="s">
        <v>43</v>
      </c>
      <c r="B42" s="24">
        <v>26930</v>
      </c>
      <c r="C42" s="25">
        <v>26930</v>
      </c>
      <c r="D42" s="30">
        <v>43.987374675083551</v>
      </c>
      <c r="E42" s="26">
        <v>1184.58</v>
      </c>
      <c r="F42" s="33">
        <v>32.238732854343567</v>
      </c>
    </row>
    <row r="43" spans="1:6" x14ac:dyDescent="0.2">
      <c r="A43" s="15" t="s">
        <v>44</v>
      </c>
      <c r="B43" s="24">
        <v>131970</v>
      </c>
      <c r="C43" s="25">
        <v>131950</v>
      </c>
      <c r="D43" s="30">
        <v>45.353618794998106</v>
      </c>
      <c r="E43" s="26">
        <v>5984.41</v>
      </c>
      <c r="F43" s="33">
        <v>162.86767907685609</v>
      </c>
    </row>
    <row r="44" spans="1:6" ht="15.75" x14ac:dyDescent="0.25">
      <c r="A44" s="16" t="s">
        <v>45</v>
      </c>
      <c r="B44" s="27">
        <v>378480</v>
      </c>
      <c r="C44" s="27">
        <v>376480</v>
      </c>
      <c r="D44" s="31">
        <v>43.505631109222271</v>
      </c>
      <c r="E44" s="27">
        <v>16379</v>
      </c>
      <c r="F44" s="34">
        <v>445.75985194861744</v>
      </c>
    </row>
    <row r="45" spans="1:6" x14ac:dyDescent="0.2">
      <c r="A45" s="15" t="s">
        <v>46</v>
      </c>
      <c r="B45" s="44">
        <v>0</v>
      </c>
      <c r="C45" s="44">
        <v>0</v>
      </c>
      <c r="D45" s="44" t="s">
        <v>65</v>
      </c>
      <c r="E45" s="44">
        <v>0</v>
      </c>
      <c r="F45" s="44">
        <v>0</v>
      </c>
    </row>
    <row r="46" spans="1:6" x14ac:dyDescent="0.2">
      <c r="A46" s="15" t="s">
        <v>47</v>
      </c>
      <c r="B46" s="44">
        <v>0</v>
      </c>
      <c r="C46" s="44">
        <v>0</v>
      </c>
      <c r="D46" s="44" t="s">
        <v>65</v>
      </c>
      <c r="E46" s="44">
        <v>0</v>
      </c>
      <c r="F46" s="44">
        <v>0</v>
      </c>
    </row>
    <row r="47" spans="1:6" x14ac:dyDescent="0.2">
      <c r="A47" s="17" t="s">
        <v>48</v>
      </c>
      <c r="B47" s="44">
        <v>0</v>
      </c>
      <c r="C47" s="44">
        <v>0</v>
      </c>
      <c r="D47" s="44" t="s">
        <v>65</v>
      </c>
      <c r="E47" s="44">
        <v>0</v>
      </c>
      <c r="F47" s="44">
        <v>0</v>
      </c>
    </row>
    <row r="48" spans="1:6" x14ac:dyDescent="0.2">
      <c r="A48" s="15" t="s">
        <v>49</v>
      </c>
      <c r="B48" s="44">
        <v>0</v>
      </c>
      <c r="C48" s="44">
        <v>0</v>
      </c>
      <c r="D48" s="44" t="s">
        <v>65</v>
      </c>
      <c r="E48" s="44">
        <v>0</v>
      </c>
      <c r="F48" s="44">
        <v>0</v>
      </c>
    </row>
    <row r="49" spans="1:6" x14ac:dyDescent="0.2">
      <c r="A49" s="15" t="s">
        <v>50</v>
      </c>
      <c r="B49" s="44">
        <v>0</v>
      </c>
      <c r="C49" s="44">
        <v>0</v>
      </c>
      <c r="D49" s="44" t="s">
        <v>65</v>
      </c>
      <c r="E49" s="44">
        <v>0</v>
      </c>
      <c r="F49" s="44">
        <v>0</v>
      </c>
    </row>
    <row r="50" spans="1:6" x14ac:dyDescent="0.2">
      <c r="A50" s="15" t="s">
        <v>51</v>
      </c>
      <c r="B50" s="26">
        <v>2750</v>
      </c>
      <c r="C50" s="25">
        <v>2740</v>
      </c>
      <c r="D50" s="30">
        <v>48.32846715328467</v>
      </c>
      <c r="E50" s="26">
        <v>132.41999999999999</v>
      </c>
      <c r="F50" s="33">
        <v>3.6038536903984322</v>
      </c>
    </row>
    <row r="51" spans="1:6" x14ac:dyDescent="0.2">
      <c r="A51" s="15" t="s">
        <v>52</v>
      </c>
      <c r="B51" s="26">
        <v>0</v>
      </c>
      <c r="C51" s="25">
        <v>0</v>
      </c>
      <c r="D51" s="30" t="s">
        <v>65</v>
      </c>
      <c r="E51" s="26">
        <v>0</v>
      </c>
      <c r="F51" s="33">
        <v>0</v>
      </c>
    </row>
    <row r="52" spans="1:6" x14ac:dyDescent="0.2">
      <c r="A52" s="15" t="s">
        <v>53</v>
      </c>
      <c r="B52" s="44">
        <v>0</v>
      </c>
      <c r="C52" s="44">
        <v>0</v>
      </c>
      <c r="D52" s="44" t="s">
        <v>65</v>
      </c>
      <c r="E52" s="44">
        <v>0</v>
      </c>
      <c r="F52" s="44">
        <v>0</v>
      </c>
    </row>
    <row r="53" spans="1:6" x14ac:dyDescent="0.2">
      <c r="A53" s="15" t="s">
        <v>54</v>
      </c>
      <c r="B53" s="44">
        <v>740</v>
      </c>
      <c r="C53" s="44">
        <v>740</v>
      </c>
      <c r="D53" s="44">
        <v>42.797297297297298</v>
      </c>
      <c r="E53" s="44">
        <v>31.67</v>
      </c>
      <c r="F53" s="44">
        <v>0.86190942738950582</v>
      </c>
    </row>
    <row r="54" spans="1:6" x14ac:dyDescent="0.2">
      <c r="A54" s="15" t="s">
        <v>55</v>
      </c>
      <c r="B54" s="24">
        <v>21210</v>
      </c>
      <c r="C54" s="25">
        <v>21220</v>
      </c>
      <c r="D54" s="30">
        <v>37.413289349670123</v>
      </c>
      <c r="E54" s="26">
        <v>793.91</v>
      </c>
      <c r="F54" s="33">
        <v>21.606520792510342</v>
      </c>
    </row>
    <row r="55" spans="1:6" ht="15.75" x14ac:dyDescent="0.25">
      <c r="A55" s="16" t="s">
        <v>56</v>
      </c>
      <c r="B55" s="27">
        <v>24700</v>
      </c>
      <c r="C55" s="27">
        <v>24700</v>
      </c>
      <c r="D55" s="31">
        <v>38.785425101214578</v>
      </c>
      <c r="E55" s="27">
        <v>958</v>
      </c>
      <c r="F55" s="34">
        <v>26.072283910298282</v>
      </c>
    </row>
    <row r="56" spans="1:6" ht="16.5" thickBot="1" x14ac:dyDescent="0.3">
      <c r="A56" s="18" t="s">
        <v>0</v>
      </c>
      <c r="B56" s="27">
        <v>2710000</v>
      </c>
      <c r="C56" s="28">
        <v>2700000</v>
      </c>
      <c r="D56" s="31">
        <v>45.92418743148351</v>
      </c>
      <c r="E56" s="29">
        <v>124000</v>
      </c>
      <c r="F56" s="34">
        <v>3374.7006313956022</v>
      </c>
    </row>
    <row r="57" spans="1:6" ht="15.75" x14ac:dyDescent="0.25">
      <c r="A57" s="5"/>
      <c r="B57" s="6"/>
      <c r="C57" s="6"/>
      <c r="D57" s="6"/>
      <c r="E57" s="6"/>
      <c r="F57" s="6"/>
    </row>
    <row r="58" spans="1:6" x14ac:dyDescent="0.2">
      <c r="A58" s="8"/>
      <c r="B58" s="19"/>
      <c r="C58" s="19"/>
      <c r="D58" s="20"/>
      <c r="E58" s="20"/>
      <c r="F58" s="19"/>
    </row>
    <row r="59" spans="1:6" ht="210" x14ac:dyDescent="0.2">
      <c r="A59" s="23" t="s">
        <v>58</v>
      </c>
      <c r="B59" s="23"/>
      <c r="C59" s="23"/>
      <c r="D59" s="23"/>
      <c r="E59" s="23"/>
      <c r="F59" s="23"/>
    </row>
    <row r="60" spans="1:6" ht="15.75" x14ac:dyDescent="0.25">
      <c r="A60" s="10" t="s">
        <v>68</v>
      </c>
      <c r="B60" s="3"/>
      <c r="C60" s="3"/>
      <c r="D60" s="4"/>
      <c r="E60" s="4"/>
      <c r="F60" s="3"/>
    </row>
    <row r="61" spans="1:6" x14ac:dyDescent="0.2">
      <c r="A61" s="45" t="s">
        <v>69</v>
      </c>
      <c r="B61" s="3"/>
      <c r="C61" s="3"/>
      <c r="D61" s="4"/>
      <c r="E61" s="4"/>
      <c r="F61" s="3"/>
    </row>
    <row r="62" spans="1:6" x14ac:dyDescent="0.2">
      <c r="A62" s="2"/>
      <c r="B62" s="3"/>
      <c r="C62" s="3"/>
      <c r="D62" s="4"/>
      <c r="E62" s="4"/>
      <c r="F62" s="3"/>
    </row>
    <row r="63" spans="1:6" x14ac:dyDescent="0.2">
      <c r="A63" s="2"/>
      <c r="B63" s="3"/>
      <c r="C63" s="3"/>
      <c r="D63" s="4"/>
      <c r="E63" s="4"/>
      <c r="F63" s="3"/>
    </row>
    <row r="64" spans="1:6" x14ac:dyDescent="0.2">
      <c r="A64" s="2"/>
      <c r="B64" s="3"/>
      <c r="C64" s="3"/>
      <c r="D64" s="4"/>
      <c r="E64" s="4"/>
      <c r="F64" s="3"/>
    </row>
    <row r="65" spans="1:6" x14ac:dyDescent="0.2">
      <c r="A65" s="2"/>
      <c r="B65" s="3"/>
      <c r="C65" s="3"/>
      <c r="D65" s="4"/>
      <c r="E65" s="4"/>
      <c r="F65" s="3"/>
    </row>
    <row r="66" spans="1:6" x14ac:dyDescent="0.2">
      <c r="A66" s="2"/>
      <c r="B66" s="3"/>
      <c r="C66" s="3"/>
      <c r="D66" s="4"/>
      <c r="E66" s="4"/>
      <c r="F66" s="3"/>
    </row>
    <row r="67" spans="1:6" x14ac:dyDescent="0.2">
      <c r="A67" s="2"/>
      <c r="B67" s="3"/>
      <c r="C67" s="3"/>
      <c r="D67" s="4"/>
      <c r="E67" s="4"/>
      <c r="F67" s="3"/>
    </row>
    <row r="68" spans="1:6" x14ac:dyDescent="0.2">
      <c r="A68" s="2"/>
      <c r="B68" s="3"/>
      <c r="C68" s="3"/>
      <c r="D68" s="4"/>
      <c r="E68" s="4"/>
      <c r="F68" s="3"/>
    </row>
    <row r="69" spans="1:6" x14ac:dyDescent="0.2">
      <c r="A69" s="2"/>
      <c r="B69" s="3"/>
      <c r="C69" s="3"/>
      <c r="D69" s="4"/>
      <c r="E69" s="4"/>
      <c r="F69" s="3"/>
    </row>
    <row r="70" spans="1:6" x14ac:dyDescent="0.2">
      <c r="A70" s="2"/>
      <c r="B70" s="3"/>
      <c r="C70" s="3"/>
      <c r="D70" s="4"/>
      <c r="E70" s="4"/>
      <c r="F70" s="3"/>
    </row>
    <row r="71" spans="1:6" x14ac:dyDescent="0.2">
      <c r="A71" s="2"/>
      <c r="B71" s="3"/>
      <c r="C71" s="3"/>
      <c r="D71" s="4"/>
      <c r="E71" s="4"/>
      <c r="F71" s="3"/>
    </row>
    <row r="72" spans="1:6" x14ac:dyDescent="0.2">
      <c r="A72" s="2"/>
      <c r="B72" s="3"/>
      <c r="C72" s="3"/>
      <c r="D72" s="4"/>
      <c r="E72" s="4"/>
      <c r="F72" s="3"/>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row>
    <row r="84" spans="1:6" x14ac:dyDescent="0.2">
      <c r="A84" s="2"/>
    </row>
    <row r="85" spans="1:6" x14ac:dyDescent="0.2">
      <c r="A85" s="2"/>
    </row>
    <row r="86" spans="1:6" x14ac:dyDescent="0.2">
      <c r="A86" s="2"/>
    </row>
    <row r="87" spans="1:6" x14ac:dyDescent="0.2">
      <c r="A87" s="2"/>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63C45-BE9D-4232-926D-094ADE20EF6B}">
  <dimension ref="A1:F99"/>
  <sheetViews>
    <sheetView workbookViewId="0">
      <selection activeCell="B3" sqref="B3:F56"/>
    </sheetView>
  </sheetViews>
  <sheetFormatPr defaultRowHeight="15" x14ac:dyDescent="0.2"/>
  <cols>
    <col min="1" max="1" width="31.44140625" style="1" bestFit="1" customWidth="1"/>
    <col min="2" max="2" width="12.109375" style="1" customWidth="1"/>
    <col min="3" max="3" width="14.109375" style="1" customWidth="1"/>
    <col min="4" max="4" width="9.21875" style="71" customWidth="1"/>
    <col min="5" max="5" width="12.109375" style="72" bestFit="1" customWidth="1"/>
    <col min="6" max="6" width="13.6640625" style="1" customWidth="1"/>
  </cols>
  <sheetData>
    <row r="1" spans="1:6" ht="16.5" thickBot="1" x14ac:dyDescent="0.3">
      <c r="A1" s="21" t="s">
        <v>70</v>
      </c>
      <c r="B1" s="22"/>
      <c r="C1" s="22"/>
      <c r="D1" s="22"/>
      <c r="E1" s="22"/>
      <c r="F1" s="22"/>
    </row>
    <row r="2" spans="1:6" ht="30.75" thickBot="1" x14ac:dyDescent="0.3">
      <c r="A2" s="46"/>
      <c r="B2" s="12" t="s">
        <v>71</v>
      </c>
      <c r="C2" s="12" t="s">
        <v>72</v>
      </c>
      <c r="D2" s="47" t="s">
        <v>73</v>
      </c>
      <c r="E2" s="48" t="s">
        <v>74</v>
      </c>
      <c r="F2" s="49" t="s">
        <v>2</v>
      </c>
    </row>
    <row r="3" spans="1:6" x14ac:dyDescent="0.2">
      <c r="A3" s="15" t="s">
        <v>4</v>
      </c>
      <c r="B3" s="44">
        <v>37973.811164713989</v>
      </c>
      <c r="C3" s="44">
        <v>37973.811164713989</v>
      </c>
      <c r="D3" s="44">
        <v>43.1</v>
      </c>
      <c r="E3" s="50">
        <f>1637000/1000</f>
        <v>1637</v>
      </c>
      <c r="F3" s="51">
        <f>+E3/36.744</f>
        <v>44.551491399956454</v>
      </c>
    </row>
    <row r="4" spans="1:6" x14ac:dyDescent="0.2">
      <c r="A4" s="15" t="s">
        <v>5</v>
      </c>
      <c r="B4" s="44">
        <v>224844.9345279118</v>
      </c>
      <c r="C4" s="44">
        <v>224844.9345279118</v>
      </c>
      <c r="D4" s="2">
        <v>48.68</v>
      </c>
      <c r="E4" s="50">
        <f>10945000/1000</f>
        <v>10945</v>
      </c>
      <c r="F4" s="51">
        <f t="shared" ref="F4:F55" si="0">+E4/36.744</f>
        <v>297.87176137600699</v>
      </c>
    </row>
    <row r="5" spans="1:6" x14ac:dyDescent="0.2">
      <c r="A5" s="15" t="s">
        <v>6</v>
      </c>
      <c r="B5" s="44">
        <v>119917.29841488629</v>
      </c>
      <c r="C5" s="44">
        <v>119917.29841488627</v>
      </c>
      <c r="D5" s="2">
        <v>43</v>
      </c>
      <c r="E5" s="50">
        <f>5156000/1000</f>
        <v>5156</v>
      </c>
      <c r="F5" s="51">
        <f t="shared" si="0"/>
        <v>140.32222947964294</v>
      </c>
    </row>
    <row r="6" spans="1:6" x14ac:dyDescent="0.2">
      <c r="A6" s="15" t="s">
        <v>7</v>
      </c>
      <c r="B6" s="44">
        <v>178876.63680220538</v>
      </c>
      <c r="C6" s="44">
        <v>178876.63680220538</v>
      </c>
      <c r="D6" s="44">
        <v>45</v>
      </c>
      <c r="E6" s="50">
        <f>8049000/1000</f>
        <v>8049</v>
      </c>
      <c r="F6" s="51">
        <f t="shared" si="0"/>
        <v>219.05617243631613</v>
      </c>
    </row>
    <row r="7" spans="1:6" x14ac:dyDescent="0.2">
      <c r="A7" s="15" t="s">
        <v>8</v>
      </c>
      <c r="B7" s="44">
        <v>171881.46106133703</v>
      </c>
      <c r="C7" s="44">
        <v>171881.46106133703</v>
      </c>
      <c r="D7" s="44">
        <v>38</v>
      </c>
      <c r="E7" s="50">
        <f>6531000/1000</f>
        <v>6531</v>
      </c>
      <c r="F7" s="51">
        <f t="shared" si="0"/>
        <v>177.74330502939256</v>
      </c>
    </row>
    <row r="8" spans="1:6" x14ac:dyDescent="0.2">
      <c r="A8" s="15" t="s">
        <v>9</v>
      </c>
      <c r="B8" s="44">
        <v>32977.257064093727</v>
      </c>
      <c r="C8" s="44">
        <v>32977.257064093727</v>
      </c>
      <c r="D8" s="44">
        <v>41</v>
      </c>
      <c r="E8" s="50">
        <f>1352000/1000</f>
        <v>1352</v>
      </c>
      <c r="F8" s="51">
        <f t="shared" si="0"/>
        <v>36.795123013281078</v>
      </c>
    </row>
    <row r="9" spans="1:6" x14ac:dyDescent="0.2">
      <c r="A9" s="15" t="s">
        <v>10</v>
      </c>
      <c r="B9" s="44">
        <v>327773.9490006892</v>
      </c>
      <c r="C9" s="44">
        <v>327773.9490006892</v>
      </c>
      <c r="D9" s="44">
        <v>45.9</v>
      </c>
      <c r="E9" s="50">
        <f>15045000/1000</f>
        <v>15045</v>
      </c>
      <c r="F9" s="51">
        <f t="shared" si="0"/>
        <v>409.4546048334422</v>
      </c>
    </row>
    <row r="10" spans="1:6" x14ac:dyDescent="0.2">
      <c r="A10" s="15" t="s">
        <v>11</v>
      </c>
      <c r="B10" s="44">
        <v>172880.77188146106</v>
      </c>
      <c r="C10" s="44">
        <v>172880.77188146106</v>
      </c>
      <c r="D10" s="2">
        <v>46</v>
      </c>
      <c r="E10" s="50">
        <f>7953000/1000</f>
        <v>7953</v>
      </c>
      <c r="F10" s="51">
        <f t="shared" si="0"/>
        <v>216.4435009797518</v>
      </c>
    </row>
    <row r="11" spans="1:6" x14ac:dyDescent="0.2">
      <c r="A11" s="15" t="s">
        <v>12</v>
      </c>
      <c r="B11" s="44">
        <v>87939.352170916609</v>
      </c>
      <c r="C11" s="44">
        <v>87939.352170916609</v>
      </c>
      <c r="D11" s="2">
        <v>39.1</v>
      </c>
      <c r="E11" s="50">
        <f>3438000/1000</f>
        <v>3438</v>
      </c>
      <c r="F11" s="51">
        <f t="shared" si="0"/>
        <v>93.566296538210324</v>
      </c>
    </row>
    <row r="12" spans="1:6" x14ac:dyDescent="0.2">
      <c r="A12" s="15" t="s">
        <v>13</v>
      </c>
      <c r="B12" s="44">
        <v>91936.59545141281</v>
      </c>
      <c r="C12" s="44">
        <v>91936.59545141281</v>
      </c>
      <c r="D12" s="2">
        <v>45</v>
      </c>
      <c r="E12" s="50">
        <f>4137000/1000</f>
        <v>4137</v>
      </c>
      <c r="F12" s="51">
        <f t="shared" si="0"/>
        <v>112.5898105813194</v>
      </c>
    </row>
    <row r="13" spans="1:6" ht="15.75" x14ac:dyDescent="0.25">
      <c r="A13" s="16" t="s">
        <v>14</v>
      </c>
      <c r="B13" s="52">
        <v>1447002.0675396279</v>
      </c>
      <c r="C13" s="52">
        <v>1447002.0675396279</v>
      </c>
      <c r="D13" s="53">
        <v>44.397310440083821</v>
      </c>
      <c r="E13" s="50">
        <f>64243000/1000</f>
        <v>64243</v>
      </c>
      <c r="F13" s="51">
        <f t="shared" si="0"/>
        <v>1748.3942956673197</v>
      </c>
    </row>
    <row r="14" spans="1:6" x14ac:dyDescent="0.2">
      <c r="A14" s="15" t="s">
        <v>15</v>
      </c>
      <c r="B14" s="44">
        <v>97932.460372157133</v>
      </c>
      <c r="C14" s="44">
        <v>97932.460372157148</v>
      </c>
      <c r="D14" s="2">
        <v>47.8</v>
      </c>
      <c r="E14" s="50">
        <f>4681000/1000</f>
        <v>4681</v>
      </c>
      <c r="F14" s="51">
        <f t="shared" si="0"/>
        <v>127.39494883518398</v>
      </c>
    </row>
    <row r="15" spans="1:6" x14ac:dyDescent="0.2">
      <c r="A15" s="15" t="s">
        <v>16</v>
      </c>
      <c r="B15" s="44">
        <v>19986.216402481048</v>
      </c>
      <c r="C15" s="44">
        <v>19986.216402481048</v>
      </c>
      <c r="D15" s="44">
        <v>41.5</v>
      </c>
      <c r="E15" s="50">
        <f>829000/1000</f>
        <v>829</v>
      </c>
      <c r="F15" s="51">
        <f t="shared" si="0"/>
        <v>22.561506640539953</v>
      </c>
    </row>
    <row r="16" spans="1:6" x14ac:dyDescent="0.2">
      <c r="A16" s="15" t="s">
        <v>17</v>
      </c>
      <c r="B16" s="44">
        <v>30978.635423845626</v>
      </c>
      <c r="C16" s="44">
        <v>30978.635423845626</v>
      </c>
      <c r="D16" s="2">
        <v>44.5</v>
      </c>
      <c r="E16" s="50">
        <f>1379000/1000</f>
        <v>1379</v>
      </c>
      <c r="F16" s="51">
        <f t="shared" si="0"/>
        <v>37.529936860439797</v>
      </c>
    </row>
    <row r="17" spans="1:6" x14ac:dyDescent="0.2">
      <c r="A17" s="15" t="s">
        <v>18</v>
      </c>
      <c r="B17" s="44">
        <v>19986.216402481048</v>
      </c>
      <c r="C17" s="44">
        <v>19986.216402481048</v>
      </c>
      <c r="D17" s="44">
        <v>36</v>
      </c>
      <c r="E17" s="50">
        <f>720000/1000</f>
        <v>720</v>
      </c>
      <c r="F17" s="51">
        <f t="shared" si="0"/>
        <v>19.595035924232526</v>
      </c>
    </row>
    <row r="18" spans="1:6" x14ac:dyDescent="0.2">
      <c r="A18" s="15" t="s">
        <v>19</v>
      </c>
      <c r="B18" s="44">
        <v>185871.81254307373</v>
      </c>
      <c r="C18" s="44">
        <v>185871.81254307373</v>
      </c>
      <c r="D18" s="2">
        <v>47.3</v>
      </c>
      <c r="E18" s="50">
        <f>8792000/1000</f>
        <v>8792</v>
      </c>
      <c r="F18" s="51">
        <f t="shared" si="0"/>
        <v>239.27716089701721</v>
      </c>
    </row>
    <row r="19" spans="1:6" x14ac:dyDescent="0.2">
      <c r="A19" s="15" t="s">
        <v>20</v>
      </c>
      <c r="B19" s="44">
        <v>26981.392143349414</v>
      </c>
      <c r="C19" s="44">
        <v>26981.392143349411</v>
      </c>
      <c r="D19" s="44">
        <v>39.6</v>
      </c>
      <c r="E19" s="50">
        <f>1068000/1000</f>
        <v>1068</v>
      </c>
      <c r="F19" s="51">
        <f t="shared" si="0"/>
        <v>29.065969954278248</v>
      </c>
    </row>
    <row r="20" spans="1:6" x14ac:dyDescent="0.2">
      <c r="A20" s="15" t="s">
        <v>21</v>
      </c>
      <c r="B20" s="44">
        <v>106926.25775327362</v>
      </c>
      <c r="C20" s="44">
        <v>106926.2577532736</v>
      </c>
      <c r="D20" s="2">
        <v>49</v>
      </c>
      <c r="E20" s="50">
        <f>5239000/1000</f>
        <v>5239</v>
      </c>
      <c r="F20" s="51">
        <f t="shared" si="0"/>
        <v>142.58110167646419</v>
      </c>
    </row>
    <row r="21" spans="1:6" x14ac:dyDescent="0.2">
      <c r="A21" s="15" t="s">
        <v>22</v>
      </c>
      <c r="B21" s="44">
        <v>124913.85251550654</v>
      </c>
      <c r="C21" s="44">
        <v>124913.85251550654</v>
      </c>
      <c r="D21" s="2">
        <v>45.3</v>
      </c>
      <c r="E21" s="50">
        <f>5659000/1000</f>
        <v>5659</v>
      </c>
      <c r="F21" s="51">
        <f t="shared" si="0"/>
        <v>154.01153929893317</v>
      </c>
    </row>
    <row r="22" spans="1:6" x14ac:dyDescent="0.2">
      <c r="A22" s="15" t="s">
        <v>23</v>
      </c>
      <c r="B22" s="44">
        <v>29979.324603721572</v>
      </c>
      <c r="C22" s="44">
        <v>29979.324603721572</v>
      </c>
      <c r="D22" s="44">
        <v>46</v>
      </c>
      <c r="E22" s="50">
        <f>1379000/1000</f>
        <v>1379</v>
      </c>
      <c r="F22" s="51">
        <f t="shared" si="0"/>
        <v>37.529936860439797</v>
      </c>
    </row>
    <row r="23" spans="1:6" x14ac:dyDescent="0.2">
      <c r="A23" s="15" t="s">
        <v>24</v>
      </c>
      <c r="B23" s="44">
        <v>137904.89317711923</v>
      </c>
      <c r="C23" s="44">
        <v>137904.89317711923</v>
      </c>
      <c r="D23" s="2">
        <v>46.9</v>
      </c>
      <c r="E23" s="50">
        <f>6468000/1000</f>
        <v>6468</v>
      </c>
      <c r="F23" s="51">
        <f t="shared" si="0"/>
        <v>176.02873938602221</v>
      </c>
    </row>
    <row r="24" spans="1:6" ht="15.75" x14ac:dyDescent="0.25">
      <c r="A24" s="16" t="s">
        <v>25</v>
      </c>
      <c r="B24" s="52">
        <v>781461.06133700896</v>
      </c>
      <c r="C24" s="52">
        <v>781461.06133700896</v>
      </c>
      <c r="D24" s="53">
        <v>46.341400476232472</v>
      </c>
      <c r="E24" s="50">
        <f>36214000/1000</f>
        <v>36214</v>
      </c>
      <c r="F24" s="51">
        <f t="shared" si="0"/>
        <v>985.57587633355104</v>
      </c>
    </row>
    <row r="25" spans="1:6" x14ac:dyDescent="0.2">
      <c r="A25" s="15" t="s">
        <v>26</v>
      </c>
      <c r="B25" s="44">
        <v>56960.71674707099</v>
      </c>
      <c r="C25" s="44">
        <v>56960.716747070997</v>
      </c>
      <c r="D25" s="44">
        <v>40.1</v>
      </c>
      <c r="E25" s="50">
        <f>2284000/1000</f>
        <v>2284</v>
      </c>
      <c r="F25" s="51">
        <f t="shared" si="0"/>
        <v>62.159808404093184</v>
      </c>
    </row>
    <row r="26" spans="1:6" x14ac:dyDescent="0.2">
      <c r="A26" s="15" t="s">
        <v>27</v>
      </c>
      <c r="B26" s="44">
        <v>0</v>
      </c>
      <c r="C26" s="44">
        <v>0</v>
      </c>
      <c r="D26" s="44">
        <v>0</v>
      </c>
      <c r="E26" s="50"/>
      <c r="F26" s="51">
        <f t="shared" si="0"/>
        <v>0</v>
      </c>
    </row>
    <row r="27" spans="1:6" x14ac:dyDescent="0.2">
      <c r="A27" s="15" t="s">
        <v>28</v>
      </c>
      <c r="B27" s="44">
        <v>0</v>
      </c>
      <c r="C27" s="44">
        <v>0</v>
      </c>
      <c r="D27" s="44"/>
      <c r="E27" s="50">
        <v>0</v>
      </c>
      <c r="F27" s="51">
        <f t="shared" si="0"/>
        <v>0</v>
      </c>
    </row>
    <row r="28" spans="1:6" x14ac:dyDescent="0.2">
      <c r="A28" s="15" t="s">
        <v>29</v>
      </c>
      <c r="B28" s="44">
        <v>28980.013783597518</v>
      </c>
      <c r="C28" s="44">
        <v>28980.013783597518</v>
      </c>
      <c r="D28" s="2">
        <v>39.799999999999997</v>
      </c>
      <c r="E28" s="50">
        <f>1153000/1000</f>
        <v>1153</v>
      </c>
      <c r="F28" s="51">
        <f t="shared" si="0"/>
        <v>31.37927280644459</v>
      </c>
    </row>
    <row r="29" spans="1:6" x14ac:dyDescent="0.2">
      <c r="A29" s="15" t="s">
        <v>30</v>
      </c>
      <c r="B29" s="44">
        <v>0</v>
      </c>
      <c r="C29" s="44">
        <v>0</v>
      </c>
      <c r="D29" s="44">
        <v>0</v>
      </c>
      <c r="E29" s="50"/>
      <c r="F29" s="51">
        <f t="shared" si="0"/>
        <v>0</v>
      </c>
    </row>
    <row r="30" spans="1:6" x14ac:dyDescent="0.2">
      <c r="A30" s="15" t="s">
        <v>31</v>
      </c>
      <c r="B30" s="44">
        <v>60957.960027567191</v>
      </c>
      <c r="C30" s="44">
        <v>60957.960027567191</v>
      </c>
      <c r="D30" s="44">
        <v>40.299999999999997</v>
      </c>
      <c r="E30" s="50">
        <f>2457000/1000</f>
        <v>2457</v>
      </c>
      <c r="F30" s="51">
        <f t="shared" si="0"/>
        <v>66.868060091443496</v>
      </c>
    </row>
    <row r="31" spans="1:6" x14ac:dyDescent="0.2">
      <c r="A31" s="15" t="s">
        <v>32</v>
      </c>
      <c r="B31" s="44">
        <v>0</v>
      </c>
      <c r="C31" s="44">
        <v>0</v>
      </c>
      <c r="D31" s="44">
        <v>0</v>
      </c>
      <c r="E31" s="50"/>
      <c r="F31" s="51">
        <f t="shared" si="0"/>
        <v>0</v>
      </c>
    </row>
    <row r="32" spans="1:6" x14ac:dyDescent="0.2">
      <c r="A32" s="15" t="s">
        <v>33</v>
      </c>
      <c r="B32" s="44">
        <v>40971.74362508615</v>
      </c>
      <c r="C32" s="44">
        <v>40971.74362508615</v>
      </c>
      <c r="D32" s="44">
        <v>39.4</v>
      </c>
      <c r="E32" s="50">
        <f>1614000/1000</f>
        <v>1614</v>
      </c>
      <c r="F32" s="51">
        <f t="shared" si="0"/>
        <v>43.925538863487915</v>
      </c>
    </row>
    <row r="33" spans="1:6" x14ac:dyDescent="0.2">
      <c r="A33" s="15" t="s">
        <v>34</v>
      </c>
      <c r="B33" s="44">
        <v>30978.635423845626</v>
      </c>
      <c r="C33" s="44">
        <v>30978.635423845626</v>
      </c>
      <c r="D33" s="44">
        <v>41.8</v>
      </c>
      <c r="E33" s="50">
        <f>1295000/1000</f>
        <v>1295</v>
      </c>
      <c r="F33" s="51">
        <f t="shared" si="0"/>
        <v>35.243849335946003</v>
      </c>
    </row>
    <row r="34" spans="1:6" x14ac:dyDescent="0.2">
      <c r="A34" s="15" t="s">
        <v>35</v>
      </c>
      <c r="B34" s="44">
        <v>24982.77050310131</v>
      </c>
      <c r="C34" s="44">
        <v>24982.77050310131</v>
      </c>
      <c r="D34" s="44">
        <v>38.4</v>
      </c>
      <c r="E34" s="50">
        <f>959000/1000</f>
        <v>959</v>
      </c>
      <c r="F34" s="51">
        <f t="shared" si="0"/>
        <v>26.099499237970825</v>
      </c>
    </row>
    <row r="35" spans="1:6" ht="15.75" x14ac:dyDescent="0.25">
      <c r="A35" s="16" t="s">
        <v>36</v>
      </c>
      <c r="B35" s="52">
        <v>243831.84011026882</v>
      </c>
      <c r="C35" s="52">
        <v>243831.84011026882</v>
      </c>
      <c r="D35" s="53">
        <v>40.03578858111927</v>
      </c>
      <c r="E35" s="50">
        <f>9762000/1000</f>
        <v>9762</v>
      </c>
      <c r="F35" s="51">
        <f t="shared" si="0"/>
        <v>265.67602873938603</v>
      </c>
    </row>
    <row r="36" spans="1:6" x14ac:dyDescent="0.2">
      <c r="A36" s="15" t="s">
        <v>37</v>
      </c>
      <c r="B36" s="44">
        <v>7994.4865609924191</v>
      </c>
      <c r="C36" s="44">
        <v>7994</v>
      </c>
      <c r="D36" s="2">
        <v>41.1</v>
      </c>
      <c r="E36" s="50">
        <f>329000/1000</f>
        <v>329</v>
      </c>
      <c r="F36" s="51">
        <f t="shared" si="0"/>
        <v>8.9538428042673637</v>
      </c>
    </row>
    <row r="37" spans="1:6" x14ac:dyDescent="0.2">
      <c r="A37" s="15" t="s">
        <v>38</v>
      </c>
      <c r="B37" s="44">
        <v>15988.973121984838</v>
      </c>
      <c r="C37" s="44">
        <v>15980</v>
      </c>
      <c r="D37" s="44">
        <v>47.6</v>
      </c>
      <c r="E37" s="50">
        <f>761000/1000</f>
        <v>761</v>
      </c>
      <c r="F37" s="51">
        <f t="shared" si="0"/>
        <v>20.71086435880688</v>
      </c>
    </row>
    <row r="38" spans="1:6" x14ac:dyDescent="0.2">
      <c r="A38" s="15" t="s">
        <v>39</v>
      </c>
      <c r="B38" s="44">
        <v>37973.811164713989</v>
      </c>
      <c r="C38" s="44">
        <v>37974</v>
      </c>
      <c r="D38" s="44">
        <v>46.6</v>
      </c>
      <c r="E38" s="50">
        <f>1770000/1000</f>
        <v>1770</v>
      </c>
      <c r="F38" s="51">
        <f t="shared" si="0"/>
        <v>48.171129980404963</v>
      </c>
    </row>
    <row r="39" spans="1:6" x14ac:dyDescent="0.2">
      <c r="A39" s="15" t="s">
        <v>40</v>
      </c>
      <c r="B39" s="44">
        <v>15988.973121984838</v>
      </c>
      <c r="C39" s="44">
        <v>15988.97312198484</v>
      </c>
      <c r="D39" s="44">
        <v>41.6</v>
      </c>
      <c r="E39" s="50">
        <f>665000/1000</f>
        <v>665</v>
      </c>
      <c r="F39" s="51">
        <f t="shared" si="0"/>
        <v>18.098192902242545</v>
      </c>
    </row>
    <row r="40" spans="1:6" x14ac:dyDescent="0.2">
      <c r="A40" s="15" t="s">
        <v>41</v>
      </c>
      <c r="B40" s="44">
        <v>54962.095106822882</v>
      </c>
      <c r="C40" s="44">
        <v>54962.095106822882</v>
      </c>
      <c r="D40" s="2">
        <v>54.9</v>
      </c>
      <c r="E40" s="50">
        <f>3017000/1000</f>
        <v>3017</v>
      </c>
      <c r="F40" s="51">
        <f t="shared" si="0"/>
        <v>82.108643588068801</v>
      </c>
    </row>
    <row r="41" spans="1:6" x14ac:dyDescent="0.2">
      <c r="A41" s="15" t="s">
        <v>42</v>
      </c>
      <c r="B41" s="44">
        <v>110923.50103376982</v>
      </c>
      <c r="C41" s="44">
        <v>110923.50103376982</v>
      </c>
      <c r="D41" s="44">
        <v>52</v>
      </c>
      <c r="E41" s="50">
        <f>5768000/1000</f>
        <v>5768</v>
      </c>
      <c r="F41" s="51">
        <f t="shared" si="0"/>
        <v>156.97801001524059</v>
      </c>
    </row>
    <row r="42" spans="1:6" x14ac:dyDescent="0.2">
      <c r="A42" s="15" t="s">
        <v>43</v>
      </c>
      <c r="B42" s="44">
        <v>34975.878704341834</v>
      </c>
      <c r="C42" s="44">
        <v>34975.878704341834</v>
      </c>
      <c r="D42" s="44">
        <v>48</v>
      </c>
      <c r="E42" s="50">
        <f>1679000/1000</f>
        <v>1679</v>
      </c>
      <c r="F42" s="51">
        <f t="shared" si="0"/>
        <v>45.694535162203351</v>
      </c>
    </row>
    <row r="43" spans="1:6" x14ac:dyDescent="0.2">
      <c r="A43" s="15" t="s">
        <v>44</v>
      </c>
      <c r="B43" s="44">
        <v>133907.64989662301</v>
      </c>
      <c r="C43" s="44">
        <v>133907.64989662301</v>
      </c>
      <c r="D43" s="44">
        <v>54.4</v>
      </c>
      <c r="E43" s="50">
        <f>7285000/1000</f>
        <v>7285</v>
      </c>
      <c r="F43" s="51">
        <f t="shared" si="0"/>
        <v>198.26366209449162</v>
      </c>
    </row>
    <row r="44" spans="1:6" ht="15.75" x14ac:dyDescent="0.25">
      <c r="A44" s="16" t="s">
        <v>45</v>
      </c>
      <c r="B44" s="52">
        <v>412715.3687112336</v>
      </c>
      <c r="C44" s="52">
        <v>412706.09786354238</v>
      </c>
      <c r="D44" s="53">
        <v>51.547578555609469</v>
      </c>
      <c r="E44" s="50">
        <f>21274000/1000</f>
        <v>21274</v>
      </c>
      <c r="F44" s="51">
        <f t="shared" si="0"/>
        <v>578.9788809057261</v>
      </c>
    </row>
    <row r="45" spans="1:6" x14ac:dyDescent="0.2">
      <c r="A45" s="15" t="s">
        <v>46</v>
      </c>
      <c r="B45" s="44">
        <v>371.32733096392207</v>
      </c>
      <c r="C45" s="44">
        <v>371</v>
      </c>
      <c r="D45" s="44">
        <v>26</v>
      </c>
      <c r="E45" s="50">
        <f>9646/1000</f>
        <v>9.6460000000000008</v>
      </c>
      <c r="F45" s="51">
        <f t="shared" si="0"/>
        <v>0.26251905072937082</v>
      </c>
    </row>
    <row r="46" spans="1:6" x14ac:dyDescent="0.2">
      <c r="A46" s="15" t="s">
        <v>47</v>
      </c>
      <c r="B46" s="44">
        <v>0</v>
      </c>
      <c r="C46" s="44">
        <v>0</v>
      </c>
      <c r="D46" s="44">
        <v>0</v>
      </c>
      <c r="E46" s="50">
        <v>0</v>
      </c>
      <c r="F46" s="51">
        <f t="shared" si="0"/>
        <v>0</v>
      </c>
    </row>
    <row r="47" spans="1:6" x14ac:dyDescent="0.2">
      <c r="A47" s="17" t="s">
        <v>48</v>
      </c>
      <c r="B47" s="44">
        <v>676.34620997000093</v>
      </c>
      <c r="C47" s="44">
        <v>676</v>
      </c>
      <c r="D47" s="44">
        <v>28</v>
      </c>
      <c r="E47" s="50">
        <f>18928/1000</f>
        <v>18.928000000000001</v>
      </c>
      <c r="F47" s="51">
        <f t="shared" si="0"/>
        <v>0.51513172218593517</v>
      </c>
    </row>
    <row r="48" spans="1:6" x14ac:dyDescent="0.2">
      <c r="A48" s="15" t="s">
        <v>49</v>
      </c>
      <c r="B48" s="44">
        <v>0</v>
      </c>
      <c r="C48" s="44">
        <v>0</v>
      </c>
      <c r="D48" s="44">
        <v>0</v>
      </c>
      <c r="E48" s="50">
        <v>0</v>
      </c>
      <c r="F48" s="51">
        <f t="shared" si="0"/>
        <v>0</v>
      </c>
    </row>
    <row r="49" spans="1:6" x14ac:dyDescent="0.2">
      <c r="A49" s="15" t="s">
        <v>50</v>
      </c>
      <c r="B49" s="44">
        <v>278.49549822294159</v>
      </c>
      <c r="C49" s="44">
        <v>278</v>
      </c>
      <c r="D49" s="44">
        <v>25</v>
      </c>
      <c r="E49" s="50">
        <f>6950/1000</f>
        <v>6.95</v>
      </c>
      <c r="F49" s="51">
        <f t="shared" si="0"/>
        <v>0.18914652732418899</v>
      </c>
    </row>
    <row r="50" spans="1:6" x14ac:dyDescent="0.2">
      <c r="A50" s="15" t="s">
        <v>51</v>
      </c>
      <c r="B50" s="44">
        <v>1746.122568223205</v>
      </c>
      <c r="C50" s="44">
        <v>1700</v>
      </c>
      <c r="D50" s="44">
        <v>39.5</v>
      </c>
      <c r="E50" s="50">
        <f>67150/1000</f>
        <v>67.150000000000006</v>
      </c>
      <c r="F50" s="51">
        <f t="shared" si="0"/>
        <v>1.8275092532114088</v>
      </c>
    </row>
    <row r="51" spans="1:6" x14ac:dyDescent="0.2">
      <c r="A51" s="15" t="s">
        <v>52</v>
      </c>
      <c r="B51" s="44">
        <v>0</v>
      </c>
      <c r="C51" s="44">
        <v>0</v>
      </c>
      <c r="D51" s="44">
        <v>33</v>
      </c>
      <c r="E51" s="50">
        <v>0</v>
      </c>
      <c r="F51" s="51">
        <f t="shared" si="0"/>
        <v>0</v>
      </c>
    </row>
    <row r="52" spans="1:6" x14ac:dyDescent="0.2">
      <c r="A52" s="15" t="s">
        <v>53</v>
      </c>
      <c r="B52" s="44">
        <v>0</v>
      </c>
      <c r="C52" s="44">
        <v>0</v>
      </c>
      <c r="D52" s="44">
        <v>39</v>
      </c>
      <c r="E52" s="50">
        <v>0</v>
      </c>
      <c r="F52" s="51">
        <f t="shared" si="0"/>
        <v>0</v>
      </c>
    </row>
    <row r="53" spans="1:6" x14ac:dyDescent="0.2">
      <c r="A53" s="15" t="s">
        <v>54</v>
      </c>
      <c r="B53" s="44">
        <v>333.75254152114422</v>
      </c>
      <c r="C53" s="44">
        <v>300</v>
      </c>
      <c r="D53" s="44">
        <v>33</v>
      </c>
      <c r="E53" s="50">
        <f>9900/1000</f>
        <v>9.9</v>
      </c>
      <c r="F53" s="51">
        <f t="shared" si="0"/>
        <v>0.26943174395819725</v>
      </c>
    </row>
    <row r="54" spans="1:6" x14ac:dyDescent="0.2">
      <c r="A54" s="15" t="s">
        <v>55</v>
      </c>
      <c r="B54" s="44">
        <v>11683.549234971977</v>
      </c>
      <c r="C54" s="44">
        <v>11684</v>
      </c>
      <c r="D54" s="44">
        <v>34</v>
      </c>
      <c r="E54" s="50">
        <f>397256/1000</f>
        <v>397.25599999999997</v>
      </c>
      <c r="F54" s="51">
        <f t="shared" si="0"/>
        <v>10.811452209884607</v>
      </c>
    </row>
    <row r="55" spans="1:6" ht="15.75" x14ac:dyDescent="0.25">
      <c r="A55" s="16" t="s">
        <v>56</v>
      </c>
      <c r="B55" s="52">
        <v>15089.593383873191</v>
      </c>
      <c r="C55" s="52">
        <v>15009</v>
      </c>
      <c r="D55" s="52">
        <v>33.96828569524952</v>
      </c>
      <c r="E55" s="50">
        <f>509830/1000</f>
        <v>509.83</v>
      </c>
      <c r="F55" s="51">
        <f t="shared" si="0"/>
        <v>13.875190507293707</v>
      </c>
    </row>
    <row r="56" spans="1:6" ht="16.5" thickBot="1" x14ac:dyDescent="0.3">
      <c r="A56" s="18" t="s">
        <v>0</v>
      </c>
      <c r="B56" s="37">
        <v>2900099.9310820121</v>
      </c>
      <c r="C56" s="37">
        <v>2900010.066850448</v>
      </c>
      <c r="D56" s="5">
        <v>45.51805923327759</v>
      </c>
      <c r="E56" s="50">
        <f>132002830/1000</f>
        <v>132002.82999999999</v>
      </c>
      <c r="F56" s="54">
        <f>ROUND(E56*0.045359,1)</f>
        <v>5987.5</v>
      </c>
    </row>
    <row r="57" spans="1:6" ht="15.75" x14ac:dyDescent="0.25">
      <c r="A57" s="5"/>
      <c r="B57" s="55"/>
      <c r="C57" s="55"/>
      <c r="D57" s="1"/>
      <c r="E57" s="56"/>
      <c r="F57" s="57"/>
    </row>
    <row r="58" spans="1:6" x14ac:dyDescent="0.2">
      <c r="B58" s="8"/>
      <c r="C58" s="58"/>
      <c r="D58" s="59"/>
      <c r="E58" s="60"/>
      <c r="F58" s="8"/>
    </row>
    <row r="59" spans="1:6" ht="199.5" x14ac:dyDescent="0.2">
      <c r="A59" s="7" t="s">
        <v>58</v>
      </c>
      <c r="B59" s="7"/>
      <c r="C59" s="7"/>
      <c r="D59" s="7"/>
      <c r="E59" s="7"/>
      <c r="F59" s="7"/>
    </row>
    <row r="60" spans="1:6" x14ac:dyDescent="0.2">
      <c r="A60"/>
      <c r="B60" s="61"/>
      <c r="C60" s="61"/>
      <c r="D60" s="62"/>
      <c r="E60" s="63" t="s">
        <v>75</v>
      </c>
      <c r="F60" s="3" t="s">
        <v>75</v>
      </c>
    </row>
    <row r="61" spans="1:6" ht="15.75" x14ac:dyDescent="0.25">
      <c r="A61" s="10" t="s">
        <v>76</v>
      </c>
      <c r="B61" s="61"/>
      <c r="C61" s="61"/>
      <c r="D61" s="62"/>
      <c r="E61" s="64" t="s">
        <v>75</v>
      </c>
      <c r="F61" s="3" t="s">
        <v>75</v>
      </c>
    </row>
    <row r="62" spans="1:6" x14ac:dyDescent="0.2">
      <c r="A62" s="65">
        <v>42571</v>
      </c>
      <c r="B62" s="2"/>
      <c r="C62" s="2"/>
      <c r="D62" s="66"/>
      <c r="E62" s="64" t="s">
        <v>75</v>
      </c>
      <c r="F62" s="3" t="s">
        <v>75</v>
      </c>
    </row>
    <row r="63" spans="1:6" x14ac:dyDescent="0.2">
      <c r="A63" s="61"/>
      <c r="B63" s="2"/>
      <c r="C63" s="2"/>
      <c r="D63" s="66"/>
      <c r="E63" s="64" t="s">
        <v>75</v>
      </c>
      <c r="F63" s="3" t="s">
        <v>75</v>
      </c>
    </row>
    <row r="64" spans="1:6" x14ac:dyDescent="0.2">
      <c r="A64" s="61"/>
      <c r="B64" s="2"/>
      <c r="C64" s="2"/>
      <c r="D64" s="66"/>
      <c r="E64" s="64" t="s">
        <v>75</v>
      </c>
      <c r="F64" s="3" t="s">
        <v>75</v>
      </c>
    </row>
    <row r="65" spans="1:6" x14ac:dyDescent="0.2">
      <c r="A65" s="2"/>
      <c r="B65" s="2"/>
      <c r="C65" s="2"/>
      <c r="D65" s="66"/>
      <c r="E65" s="64" t="s">
        <v>75</v>
      </c>
      <c r="F65" s="3" t="s">
        <v>75</v>
      </c>
    </row>
    <row r="66" spans="1:6" x14ac:dyDescent="0.2">
      <c r="A66" s="2"/>
      <c r="B66" s="2"/>
      <c r="C66" s="2"/>
      <c r="D66" s="66"/>
      <c r="E66" s="64"/>
      <c r="F66" s="2"/>
    </row>
    <row r="67" spans="1:6" x14ac:dyDescent="0.2">
      <c r="A67" s="2"/>
      <c r="B67" s="2"/>
      <c r="C67" s="2"/>
      <c r="D67" s="66"/>
      <c r="E67" s="64"/>
      <c r="F67" s="3"/>
    </row>
    <row r="68" spans="1:6" x14ac:dyDescent="0.2">
      <c r="A68" s="2"/>
      <c r="B68" s="61"/>
      <c r="C68" s="61"/>
      <c r="D68" s="62"/>
      <c r="E68" s="67"/>
      <c r="F68" s="61"/>
    </row>
    <row r="69" spans="1:6" x14ac:dyDescent="0.2">
      <c r="A69" s="2"/>
      <c r="B69" s="2"/>
      <c r="C69" s="2"/>
      <c r="D69" s="66"/>
      <c r="E69" s="64"/>
      <c r="F69" s="2"/>
    </row>
    <row r="70" spans="1:6" x14ac:dyDescent="0.2">
      <c r="A70" s="2"/>
      <c r="B70" s="3"/>
      <c r="C70" s="3"/>
      <c r="D70" s="66"/>
      <c r="E70" s="64"/>
      <c r="F70" s="68"/>
    </row>
    <row r="71" spans="1:6" x14ac:dyDescent="0.2">
      <c r="A71" s="2"/>
      <c r="B71" s="69"/>
      <c r="C71" s="69"/>
      <c r="D71" s="62"/>
      <c r="E71" s="67"/>
      <c r="F71" s="70"/>
    </row>
    <row r="72" spans="1:6" x14ac:dyDescent="0.2">
      <c r="A72" s="2"/>
      <c r="B72" s="3"/>
      <c r="C72" s="3"/>
      <c r="D72" s="66"/>
      <c r="E72" s="64"/>
      <c r="F72" s="68"/>
    </row>
    <row r="73" spans="1:6" x14ac:dyDescent="0.2">
      <c r="A73" s="61"/>
      <c r="B73" s="3"/>
      <c r="C73" s="3"/>
      <c r="D73" s="66"/>
      <c r="E73" s="64"/>
      <c r="F73" s="68"/>
    </row>
    <row r="74" spans="1:6" x14ac:dyDescent="0.2">
      <c r="A74" s="1" t="s">
        <v>75</v>
      </c>
      <c r="B74" s="3"/>
      <c r="C74" s="3"/>
      <c r="D74" s="66"/>
      <c r="E74" s="64"/>
      <c r="F74" s="68"/>
    </row>
    <row r="75" spans="1:6" x14ac:dyDescent="0.2">
      <c r="A75" s="2"/>
      <c r="B75" s="3"/>
      <c r="C75" s="3"/>
      <c r="D75" s="66"/>
      <c r="E75" s="64"/>
      <c r="F75" s="68"/>
    </row>
    <row r="76" spans="1:6" x14ac:dyDescent="0.2">
      <c r="A76" s="2"/>
      <c r="B76" s="3"/>
      <c r="C76" s="3"/>
      <c r="D76" s="66"/>
      <c r="E76" s="64"/>
      <c r="F76" s="68"/>
    </row>
    <row r="77" spans="1:6" x14ac:dyDescent="0.2">
      <c r="A77" s="2"/>
      <c r="B77" s="3"/>
      <c r="C77" s="3"/>
      <c r="D77" s="66"/>
      <c r="E77" s="64"/>
      <c r="F77" s="68"/>
    </row>
    <row r="78" spans="1:6" x14ac:dyDescent="0.2">
      <c r="A78" s="2"/>
      <c r="B78" s="3"/>
      <c r="C78" s="3"/>
      <c r="D78" s="66"/>
      <c r="E78" s="64"/>
      <c r="F78" s="68"/>
    </row>
    <row r="79" spans="1:6" x14ac:dyDescent="0.2">
      <c r="A79" s="2"/>
      <c r="B79" s="3"/>
      <c r="C79" s="3"/>
      <c r="D79" s="66"/>
      <c r="E79" s="64"/>
      <c r="F79" s="68"/>
    </row>
    <row r="80" spans="1:6" x14ac:dyDescent="0.2">
      <c r="A80" s="2"/>
      <c r="B80" s="3"/>
      <c r="C80" s="3"/>
      <c r="D80" s="66"/>
      <c r="E80" s="64"/>
      <c r="F80" s="68"/>
    </row>
    <row r="81" spans="1:6" x14ac:dyDescent="0.2">
      <c r="A81" s="2"/>
      <c r="B81" s="3"/>
      <c r="C81" s="3"/>
      <c r="D81" s="66"/>
      <c r="E81" s="64"/>
      <c r="F81" s="68"/>
    </row>
    <row r="82" spans="1:6" x14ac:dyDescent="0.2">
      <c r="A82" s="2"/>
      <c r="B82" s="3"/>
      <c r="C82" s="3"/>
      <c r="D82" s="66"/>
      <c r="E82" s="64"/>
      <c r="F82" s="68"/>
    </row>
    <row r="83" spans="1:6" x14ac:dyDescent="0.2">
      <c r="A83" s="2"/>
      <c r="B83" s="3"/>
      <c r="C83" s="3"/>
      <c r="D83" s="66"/>
      <c r="E83" s="64"/>
      <c r="F83" s="68"/>
    </row>
    <row r="84" spans="1:6" x14ac:dyDescent="0.2">
      <c r="A84" s="2"/>
      <c r="B84" s="3"/>
      <c r="C84" s="3"/>
      <c r="D84" s="66"/>
      <c r="E84" s="64"/>
      <c r="F84" s="68"/>
    </row>
    <row r="85" spans="1:6" x14ac:dyDescent="0.2">
      <c r="A85" s="2"/>
      <c r="B85" s="2"/>
      <c r="C85" s="2"/>
      <c r="D85" s="66"/>
      <c r="E85" s="64"/>
      <c r="F85" s="2"/>
    </row>
    <row r="86" spans="1:6" x14ac:dyDescent="0.2">
      <c r="A86" s="2"/>
      <c r="B86" s="2"/>
      <c r="C86" s="2"/>
      <c r="D86" s="66"/>
      <c r="E86" s="64"/>
      <c r="F86" s="2"/>
    </row>
    <row r="87" spans="1:6" x14ac:dyDescent="0.2">
      <c r="A87" s="2"/>
      <c r="B87" s="2"/>
      <c r="C87" s="2"/>
      <c r="D87" s="66"/>
      <c r="E87" s="64"/>
      <c r="F87" s="2"/>
    </row>
    <row r="88" spans="1:6" x14ac:dyDescent="0.2">
      <c r="A88" s="2"/>
      <c r="B88" s="2"/>
      <c r="C88" s="2"/>
      <c r="D88" s="66"/>
      <c r="E88" s="64"/>
      <c r="F88" s="2"/>
    </row>
    <row r="89" spans="1:6" x14ac:dyDescent="0.2">
      <c r="A89" s="2"/>
      <c r="B89" s="2"/>
      <c r="C89" s="2"/>
      <c r="D89" s="66"/>
      <c r="E89" s="64"/>
      <c r="F89" s="2"/>
    </row>
    <row r="90" spans="1:6" x14ac:dyDescent="0.2">
      <c r="A90" s="2"/>
      <c r="B90" s="2"/>
      <c r="C90" s="2"/>
      <c r="D90" s="66"/>
      <c r="E90" s="64"/>
      <c r="F90" s="2"/>
    </row>
    <row r="91" spans="1:6" x14ac:dyDescent="0.2">
      <c r="A91" s="2"/>
      <c r="B91" s="2"/>
      <c r="C91" s="2"/>
      <c r="D91" s="66"/>
      <c r="E91" s="64"/>
      <c r="F91" s="2"/>
    </row>
    <row r="92" spans="1:6" x14ac:dyDescent="0.2">
      <c r="A92" s="2"/>
      <c r="B92" s="2"/>
      <c r="C92" s="2"/>
      <c r="D92" s="66"/>
      <c r="E92" s="64"/>
      <c r="F92" s="2"/>
    </row>
    <row r="93" spans="1:6" x14ac:dyDescent="0.2">
      <c r="A93" s="2"/>
      <c r="B93" s="2"/>
      <c r="C93" s="2"/>
      <c r="D93" s="66"/>
      <c r="E93" s="64"/>
      <c r="F93" s="2"/>
    </row>
    <row r="94" spans="1:6" x14ac:dyDescent="0.2">
      <c r="A94" s="2"/>
      <c r="B94" s="2"/>
      <c r="C94" s="2"/>
      <c r="D94" s="66"/>
      <c r="E94" s="64"/>
      <c r="F94" s="2"/>
    </row>
    <row r="95" spans="1:6" x14ac:dyDescent="0.2">
      <c r="A95" s="2"/>
    </row>
    <row r="96" spans="1:6" x14ac:dyDescent="0.2">
      <c r="A96" s="2"/>
    </row>
    <row r="97" spans="1:1" x14ac:dyDescent="0.2">
      <c r="A97" s="2"/>
    </row>
    <row r="98" spans="1:1" x14ac:dyDescent="0.2">
      <c r="A98" s="2"/>
    </row>
    <row r="99" spans="1:1" x14ac:dyDescent="0.2">
      <c r="A99" s="2"/>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23CC-521A-4F75-B7CE-9EE03E5284D6}">
  <dimension ref="A1:F87"/>
  <sheetViews>
    <sheetView workbookViewId="0">
      <selection activeCell="B3" sqref="B3:F56"/>
    </sheetView>
  </sheetViews>
  <sheetFormatPr defaultRowHeight="15" x14ac:dyDescent="0.2"/>
  <cols>
    <col min="1" max="1" width="34.5546875" style="1" customWidth="1"/>
    <col min="2" max="2" width="13.77734375" style="1" customWidth="1"/>
    <col min="3" max="3" width="13.109375" style="1" customWidth="1"/>
    <col min="4" max="5" width="15.33203125" style="1" customWidth="1"/>
    <col min="6" max="6" width="14.6640625" style="1" customWidth="1"/>
  </cols>
  <sheetData>
    <row r="1" spans="1:6" ht="16.5" thickBot="1" x14ac:dyDescent="0.3">
      <c r="A1" s="21" t="s">
        <v>77</v>
      </c>
      <c r="B1" s="22"/>
      <c r="C1" s="22"/>
      <c r="D1" s="22"/>
      <c r="E1" s="22"/>
      <c r="F1" s="22"/>
    </row>
    <row r="2" spans="1:6" ht="30.75" thickBot="1" x14ac:dyDescent="0.3">
      <c r="A2" s="11"/>
      <c r="B2" s="12" t="s">
        <v>59</v>
      </c>
      <c r="C2" s="12" t="s">
        <v>57</v>
      </c>
      <c r="D2" s="13" t="s">
        <v>3</v>
      </c>
      <c r="E2" s="14" t="s">
        <v>1</v>
      </c>
      <c r="F2" s="32" t="s">
        <v>2</v>
      </c>
    </row>
    <row r="3" spans="1:6" x14ac:dyDescent="0.2">
      <c r="A3" s="15" t="s">
        <v>4</v>
      </c>
      <c r="B3" s="24">
        <v>50966.796875</v>
      </c>
      <c r="C3" s="25">
        <v>50900</v>
      </c>
      <c r="D3" s="30">
        <v>45</v>
      </c>
      <c r="E3" s="26">
        <v>2291</v>
      </c>
      <c r="F3" s="33">
        <f>+E3/36.744</f>
        <v>62.350315697801001</v>
      </c>
    </row>
    <row r="4" spans="1:6" x14ac:dyDescent="0.2">
      <c r="A4" s="15" t="s">
        <v>5</v>
      </c>
      <c r="B4" s="24">
        <v>226852.21354166669</v>
      </c>
      <c r="C4" s="25">
        <v>226700</v>
      </c>
      <c r="D4" s="30">
        <v>51</v>
      </c>
      <c r="E4" s="26">
        <v>11562</v>
      </c>
      <c r="F4" s="33">
        <f t="shared" ref="F4:F56" si="0">+E4/36.744</f>
        <v>314.66361854996734</v>
      </c>
    </row>
    <row r="5" spans="1:6" x14ac:dyDescent="0.2">
      <c r="A5" s="15" t="s">
        <v>6</v>
      </c>
      <c r="B5" s="24">
        <v>121920.57291666666</v>
      </c>
      <c r="C5" s="25">
        <v>121800</v>
      </c>
      <c r="D5" s="30">
        <v>48</v>
      </c>
      <c r="E5" s="26">
        <v>5846</v>
      </c>
      <c r="F5" s="33">
        <f t="shared" si="0"/>
        <v>159.10080557369912</v>
      </c>
    </row>
    <row r="6" spans="1:6" x14ac:dyDescent="0.2">
      <c r="A6" s="15" t="s">
        <v>7</v>
      </c>
      <c r="B6" s="24">
        <v>183880.20833333334</v>
      </c>
      <c r="C6" s="25">
        <v>183800</v>
      </c>
      <c r="D6" s="30">
        <v>51</v>
      </c>
      <c r="E6" s="26">
        <v>9374</v>
      </c>
      <c r="F6" s="33">
        <f t="shared" si="0"/>
        <v>255.11648160243848</v>
      </c>
    </row>
    <row r="7" spans="1:6" x14ac:dyDescent="0.2">
      <c r="A7" s="15" t="s">
        <v>8</v>
      </c>
      <c r="B7" s="24">
        <v>183880.20833333334</v>
      </c>
      <c r="C7" s="25">
        <v>183800</v>
      </c>
      <c r="D7" s="30">
        <v>44</v>
      </c>
      <c r="E7" s="26">
        <v>8087</v>
      </c>
      <c r="F7" s="33">
        <f t="shared" si="0"/>
        <v>220.09035488787285</v>
      </c>
    </row>
    <row r="8" spans="1:6" x14ac:dyDescent="0.2">
      <c r="A8" s="15" t="s">
        <v>9</v>
      </c>
      <c r="B8" s="24">
        <v>47968.75</v>
      </c>
      <c r="C8" s="25">
        <v>47900</v>
      </c>
      <c r="D8" s="30">
        <v>44</v>
      </c>
      <c r="E8" s="26">
        <v>2108</v>
      </c>
      <c r="F8" s="33">
        <f t="shared" si="0"/>
        <v>57.369910733725234</v>
      </c>
    </row>
    <row r="9" spans="1:6" x14ac:dyDescent="0.2">
      <c r="A9" s="15" t="s">
        <v>10</v>
      </c>
      <c r="B9" s="24">
        <v>303802.08333333331</v>
      </c>
      <c r="C9" s="25">
        <v>303600</v>
      </c>
      <c r="D9" s="30">
        <v>34.4</v>
      </c>
      <c r="E9" s="26">
        <v>10444</v>
      </c>
      <c r="F9" s="33">
        <f t="shared" si="0"/>
        <v>284.23688221206186</v>
      </c>
    </row>
    <row r="10" spans="1:6" x14ac:dyDescent="0.2">
      <c r="A10" s="15" t="s">
        <v>11</v>
      </c>
      <c r="B10" s="24">
        <v>197871.09375</v>
      </c>
      <c r="C10" s="25">
        <v>197800</v>
      </c>
      <c r="D10" s="30">
        <v>45</v>
      </c>
      <c r="E10" s="26">
        <v>8901</v>
      </c>
      <c r="F10" s="33">
        <f t="shared" si="0"/>
        <v>242.24363161332462</v>
      </c>
    </row>
    <row r="11" spans="1:6" x14ac:dyDescent="0.2">
      <c r="A11" s="15" t="s">
        <v>12</v>
      </c>
      <c r="B11" s="24">
        <v>89941.40625</v>
      </c>
      <c r="C11" s="25">
        <v>89900</v>
      </c>
      <c r="D11" s="30">
        <v>47</v>
      </c>
      <c r="E11" s="26">
        <v>4225</v>
      </c>
      <c r="F11" s="33">
        <f t="shared" si="0"/>
        <v>114.98475941650338</v>
      </c>
    </row>
    <row r="12" spans="1:6" x14ac:dyDescent="0.2">
      <c r="A12" s="15" t="s">
        <v>13</v>
      </c>
      <c r="B12" s="24">
        <v>104931.640625</v>
      </c>
      <c r="C12" s="25">
        <v>104900</v>
      </c>
      <c r="D12" s="30">
        <v>52</v>
      </c>
      <c r="E12" s="26">
        <v>5455</v>
      </c>
      <c r="F12" s="33">
        <f t="shared" si="0"/>
        <v>148.45961245373394</v>
      </c>
    </row>
    <row r="13" spans="1:6" ht="15.75" x14ac:dyDescent="0.25">
      <c r="A13" s="16" t="s">
        <v>14</v>
      </c>
      <c r="B13" s="27">
        <v>1512014.9739583335</v>
      </c>
      <c r="C13" s="28">
        <v>1511100</v>
      </c>
      <c r="D13" s="31">
        <v>45.194229369333598</v>
      </c>
      <c r="E13" s="29">
        <v>68293</v>
      </c>
      <c r="F13" s="34">
        <f t="shared" si="0"/>
        <v>1858.6163727411279</v>
      </c>
    </row>
    <row r="14" spans="1:6" x14ac:dyDescent="0.2">
      <c r="A14" s="15" t="s">
        <v>15</v>
      </c>
      <c r="B14" s="24">
        <v>123919.27083333334</v>
      </c>
      <c r="C14" s="25">
        <v>123300</v>
      </c>
      <c r="D14" s="30">
        <v>47</v>
      </c>
      <c r="E14" s="26">
        <v>5795</v>
      </c>
      <c r="F14" s="33">
        <f t="shared" si="0"/>
        <v>157.71282386239932</v>
      </c>
    </row>
    <row r="15" spans="1:6" x14ac:dyDescent="0.2">
      <c r="A15" s="15" t="s">
        <v>16</v>
      </c>
      <c r="B15" s="24">
        <v>17988.28125</v>
      </c>
      <c r="C15" s="25">
        <v>17900</v>
      </c>
      <c r="D15" s="30">
        <v>44</v>
      </c>
      <c r="E15" s="26">
        <v>788</v>
      </c>
      <c r="F15" s="33">
        <f t="shared" si="0"/>
        <v>21.445678205965599</v>
      </c>
    </row>
    <row r="16" spans="1:6" x14ac:dyDescent="0.2">
      <c r="A16" s="15" t="s">
        <v>17</v>
      </c>
      <c r="B16" s="24">
        <v>51966.145833333328</v>
      </c>
      <c r="C16" s="25">
        <v>51800</v>
      </c>
      <c r="D16" s="30">
        <v>43</v>
      </c>
      <c r="E16" s="26">
        <v>2227</v>
      </c>
      <c r="F16" s="33">
        <f t="shared" si="0"/>
        <v>60.608534726758108</v>
      </c>
    </row>
    <row r="17" spans="1:6" x14ac:dyDescent="0.2">
      <c r="A17" s="15" t="s">
        <v>18</v>
      </c>
      <c r="B17" s="24">
        <v>16988.932291666668</v>
      </c>
      <c r="C17" s="25">
        <v>16900</v>
      </c>
      <c r="D17" s="30">
        <v>44</v>
      </c>
      <c r="E17" s="26">
        <v>744</v>
      </c>
      <c r="F17" s="33">
        <f t="shared" si="0"/>
        <v>20.248203788373612</v>
      </c>
    </row>
    <row r="18" spans="1:6" x14ac:dyDescent="0.2">
      <c r="A18" s="15" t="s">
        <v>19</v>
      </c>
      <c r="B18" s="24">
        <v>177884.11458333334</v>
      </c>
      <c r="C18" s="25">
        <v>177100</v>
      </c>
      <c r="D18" s="30">
        <v>49</v>
      </c>
      <c r="E18" s="26">
        <v>8678</v>
      </c>
      <c r="F18" s="33">
        <f t="shared" si="0"/>
        <v>236.17461354234706</v>
      </c>
    </row>
    <row r="19" spans="1:6" x14ac:dyDescent="0.2">
      <c r="A19" s="15" t="s">
        <v>20</v>
      </c>
      <c r="B19" s="24">
        <v>31979.166666666664</v>
      </c>
      <c r="C19" s="25">
        <v>31800</v>
      </c>
      <c r="D19" s="30">
        <v>47</v>
      </c>
      <c r="E19" s="26">
        <v>1495</v>
      </c>
      <c r="F19" s="33">
        <f t="shared" si="0"/>
        <v>40.686914870455041</v>
      </c>
    </row>
    <row r="20" spans="1:6" x14ac:dyDescent="0.2">
      <c r="A20" s="15" t="s">
        <v>21</v>
      </c>
      <c r="B20" s="24">
        <v>129915.36458333334</v>
      </c>
      <c r="C20" s="25">
        <v>129300</v>
      </c>
      <c r="D20" s="30">
        <v>50</v>
      </c>
      <c r="E20" s="26">
        <v>6465</v>
      </c>
      <c r="F20" s="33">
        <f t="shared" si="0"/>
        <v>175.94709340300457</v>
      </c>
    </row>
    <row r="21" spans="1:6" x14ac:dyDescent="0.2">
      <c r="A21" s="15" t="s">
        <v>22</v>
      </c>
      <c r="B21" s="24">
        <v>111927.08333333334</v>
      </c>
      <c r="C21" s="25">
        <v>111400</v>
      </c>
      <c r="D21" s="30">
        <v>47</v>
      </c>
      <c r="E21" s="26">
        <v>5236</v>
      </c>
      <c r="F21" s="33">
        <f t="shared" si="0"/>
        <v>142.49945569344655</v>
      </c>
    </row>
    <row r="22" spans="1:6" x14ac:dyDescent="0.2">
      <c r="A22" s="15" t="s">
        <v>23</v>
      </c>
      <c r="B22" s="24">
        <v>39973.958333333336</v>
      </c>
      <c r="C22" s="25">
        <v>39800</v>
      </c>
      <c r="D22" s="30">
        <v>48</v>
      </c>
      <c r="E22" s="26">
        <v>1910</v>
      </c>
      <c r="F22" s="33">
        <f t="shared" si="0"/>
        <v>51.981275854561289</v>
      </c>
    </row>
    <row r="23" spans="1:6" x14ac:dyDescent="0.2">
      <c r="A23" s="15" t="s">
        <v>24</v>
      </c>
      <c r="B23" s="24">
        <v>126917.31770833334</v>
      </c>
      <c r="C23" s="25">
        <v>126400</v>
      </c>
      <c r="D23" s="30">
        <v>47</v>
      </c>
      <c r="E23" s="26">
        <v>5941</v>
      </c>
      <c r="F23" s="33">
        <f t="shared" si="0"/>
        <v>161.68626170259091</v>
      </c>
    </row>
    <row r="24" spans="1:6" ht="15.75" x14ac:dyDescent="0.25">
      <c r="A24" s="16" t="s">
        <v>25</v>
      </c>
      <c r="B24" s="27">
        <v>829459.63541666686</v>
      </c>
      <c r="C24" s="28">
        <v>825700</v>
      </c>
      <c r="D24" s="31">
        <v>47.570546203221511</v>
      </c>
      <c r="E24" s="29">
        <v>39279</v>
      </c>
      <c r="F24" s="34">
        <f t="shared" si="0"/>
        <v>1068.990855649902</v>
      </c>
    </row>
    <row r="25" spans="1:6" x14ac:dyDescent="0.2">
      <c r="A25" s="15" t="s">
        <v>26</v>
      </c>
      <c r="B25" s="24">
        <v>64957.682291666672</v>
      </c>
      <c r="C25" s="25">
        <v>64800</v>
      </c>
      <c r="D25" s="30">
        <v>44</v>
      </c>
      <c r="E25" s="26">
        <v>2851</v>
      </c>
      <c r="F25" s="33">
        <f t="shared" si="0"/>
        <v>77.590899194426299</v>
      </c>
    </row>
    <row r="26" spans="1:6" x14ac:dyDescent="0.2">
      <c r="A26" s="15" t="s">
        <v>27</v>
      </c>
      <c r="B26" s="26"/>
      <c r="C26" s="25"/>
      <c r="D26" s="30"/>
      <c r="E26" s="26">
        <v>0</v>
      </c>
      <c r="F26" s="33">
        <f t="shared" si="0"/>
        <v>0</v>
      </c>
    </row>
    <row r="27" spans="1:6" x14ac:dyDescent="0.2">
      <c r="A27" s="15" t="s">
        <v>28</v>
      </c>
      <c r="B27" s="24">
        <v>28981.119791666664</v>
      </c>
      <c r="C27" s="25">
        <v>28900</v>
      </c>
      <c r="D27" s="30">
        <v>44</v>
      </c>
      <c r="E27" s="26">
        <v>1272</v>
      </c>
      <c r="F27" s="33">
        <f t="shared" si="0"/>
        <v>34.617896799477464</v>
      </c>
    </row>
    <row r="28" spans="1:6" x14ac:dyDescent="0.2">
      <c r="A28" s="15" t="s">
        <v>29</v>
      </c>
      <c r="B28" s="24">
        <v>36975.911458333336</v>
      </c>
      <c r="C28" s="25">
        <v>36900</v>
      </c>
      <c r="D28" s="30">
        <v>44</v>
      </c>
      <c r="E28" s="26">
        <v>1624</v>
      </c>
      <c r="F28" s="33">
        <f t="shared" si="0"/>
        <v>44.19769214021337</v>
      </c>
    </row>
    <row r="29" spans="1:6" x14ac:dyDescent="0.2">
      <c r="A29" s="15" t="s">
        <v>30</v>
      </c>
      <c r="B29" s="26"/>
      <c r="C29" s="25"/>
      <c r="D29" s="30"/>
      <c r="E29" s="26">
        <v>0</v>
      </c>
      <c r="F29" s="33">
        <f t="shared" si="0"/>
        <v>0</v>
      </c>
    </row>
    <row r="30" spans="1:6" x14ac:dyDescent="0.2">
      <c r="A30" s="15" t="s">
        <v>31</v>
      </c>
      <c r="B30" s="24">
        <v>45970.052083333336</v>
      </c>
      <c r="C30" s="25">
        <v>45900</v>
      </c>
      <c r="D30" s="30">
        <v>43</v>
      </c>
      <c r="E30" s="26">
        <v>1974</v>
      </c>
      <c r="F30" s="33">
        <f t="shared" si="0"/>
        <v>53.723056825604182</v>
      </c>
    </row>
    <row r="31" spans="1:6" x14ac:dyDescent="0.2">
      <c r="A31" s="15" t="s">
        <v>32</v>
      </c>
      <c r="B31" s="24"/>
      <c r="C31" s="25"/>
      <c r="D31" s="30"/>
      <c r="E31" s="26">
        <v>0</v>
      </c>
      <c r="F31" s="33">
        <f t="shared" si="0"/>
        <v>0</v>
      </c>
    </row>
    <row r="32" spans="1:6" x14ac:dyDescent="0.2">
      <c r="A32" s="15" t="s">
        <v>33</v>
      </c>
      <c r="B32" s="24">
        <v>30979.817708333336</v>
      </c>
      <c r="C32" s="25">
        <v>30900</v>
      </c>
      <c r="D32" s="30">
        <v>39</v>
      </c>
      <c r="E32" s="26">
        <v>1205</v>
      </c>
      <c r="F32" s="33">
        <f t="shared" si="0"/>
        <v>32.794469845416941</v>
      </c>
    </row>
    <row r="33" spans="1:6" x14ac:dyDescent="0.2">
      <c r="A33" s="15" t="s">
        <v>34</v>
      </c>
      <c r="B33" s="24">
        <v>29980.46875</v>
      </c>
      <c r="C33" s="25">
        <v>29900</v>
      </c>
      <c r="D33" s="30">
        <v>34</v>
      </c>
      <c r="E33" s="26">
        <v>1017</v>
      </c>
      <c r="F33" s="33">
        <f t="shared" si="0"/>
        <v>27.677988242978447</v>
      </c>
    </row>
    <row r="34" spans="1:6" x14ac:dyDescent="0.2">
      <c r="A34" s="15" t="s">
        <v>35</v>
      </c>
      <c r="B34" s="24">
        <v>30979.817708333336</v>
      </c>
      <c r="C34" s="25">
        <v>30900</v>
      </c>
      <c r="D34" s="30">
        <v>42</v>
      </c>
      <c r="E34" s="26">
        <v>1298</v>
      </c>
      <c r="F34" s="33">
        <f t="shared" si="0"/>
        <v>35.32549531896364</v>
      </c>
    </row>
    <row r="35" spans="1:6" ht="15.75" x14ac:dyDescent="0.25">
      <c r="A35" s="16" t="s">
        <v>36</v>
      </c>
      <c r="B35" s="27">
        <v>268824.86979166669</v>
      </c>
      <c r="C35" s="28">
        <v>268200</v>
      </c>
      <c r="D35" s="31">
        <v>41.912751677852349</v>
      </c>
      <c r="E35" s="29">
        <v>11241</v>
      </c>
      <c r="F35" s="34">
        <f t="shared" si="0"/>
        <v>305.92749836708032</v>
      </c>
    </row>
    <row r="36" spans="1:6" x14ac:dyDescent="0.2">
      <c r="A36" s="15" t="s">
        <v>37</v>
      </c>
      <c r="B36" s="24">
        <v>16988.932291666668</v>
      </c>
      <c r="C36" s="25">
        <v>16900</v>
      </c>
      <c r="D36" s="30">
        <v>44</v>
      </c>
      <c r="E36" s="26">
        <v>744</v>
      </c>
      <c r="F36" s="33">
        <f t="shared" si="0"/>
        <v>20.248203788373612</v>
      </c>
    </row>
    <row r="37" spans="1:6" x14ac:dyDescent="0.2">
      <c r="A37" s="15" t="s">
        <v>38</v>
      </c>
      <c r="B37" s="24">
        <v>21985.677083333332</v>
      </c>
      <c r="C37" s="25">
        <v>21900</v>
      </c>
      <c r="D37" s="30">
        <v>44</v>
      </c>
      <c r="E37" s="26">
        <v>964</v>
      </c>
      <c r="F37" s="33">
        <f t="shared" si="0"/>
        <v>26.235575876333552</v>
      </c>
    </row>
    <row r="38" spans="1:6" x14ac:dyDescent="0.2">
      <c r="A38" s="15" t="s">
        <v>39</v>
      </c>
      <c r="B38" s="24">
        <v>40973.307291666664</v>
      </c>
      <c r="C38" s="25">
        <v>40700</v>
      </c>
      <c r="D38" s="30">
        <v>42</v>
      </c>
      <c r="E38" s="26">
        <v>1709</v>
      </c>
      <c r="F38" s="33">
        <f t="shared" si="0"/>
        <v>46.510994992379707</v>
      </c>
    </row>
    <row r="39" spans="1:6" x14ac:dyDescent="0.2">
      <c r="A39" s="15" t="s">
        <v>40</v>
      </c>
      <c r="B39" s="24">
        <v>20986.328125</v>
      </c>
      <c r="C39" s="25">
        <v>20900</v>
      </c>
      <c r="D39" s="30">
        <v>43</v>
      </c>
      <c r="E39" s="26">
        <v>899</v>
      </c>
      <c r="F39" s="33">
        <f t="shared" si="0"/>
        <v>24.466579577618116</v>
      </c>
    </row>
    <row r="40" spans="1:6" x14ac:dyDescent="0.2">
      <c r="A40" s="15" t="s">
        <v>41</v>
      </c>
      <c r="B40" s="24">
        <v>67955.729166666672</v>
      </c>
      <c r="C40" s="25">
        <v>67500</v>
      </c>
      <c r="D40" s="30">
        <v>46</v>
      </c>
      <c r="E40" s="26">
        <v>3105</v>
      </c>
      <c r="F40" s="33">
        <f t="shared" si="0"/>
        <v>84.503592423252783</v>
      </c>
    </row>
    <row r="41" spans="1:6" x14ac:dyDescent="0.2">
      <c r="A41" s="15" t="s">
        <v>42</v>
      </c>
      <c r="B41" s="24">
        <v>89000</v>
      </c>
      <c r="C41" s="25">
        <v>88500</v>
      </c>
      <c r="D41" s="30">
        <v>45</v>
      </c>
      <c r="E41" s="26">
        <v>3983</v>
      </c>
      <c r="F41" s="33">
        <f t="shared" si="0"/>
        <v>108.39865011974744</v>
      </c>
    </row>
    <row r="42" spans="1:6" x14ac:dyDescent="0.2">
      <c r="A42" s="15" t="s">
        <v>43</v>
      </c>
      <c r="B42" s="24">
        <v>43971.354166666664</v>
      </c>
      <c r="C42" s="25">
        <v>43700</v>
      </c>
      <c r="D42" s="30">
        <v>42</v>
      </c>
      <c r="E42" s="26">
        <v>1835</v>
      </c>
      <c r="F42" s="33">
        <f t="shared" si="0"/>
        <v>49.940126279120399</v>
      </c>
    </row>
    <row r="43" spans="1:6" x14ac:dyDescent="0.2">
      <c r="A43" s="15" t="s">
        <v>44</v>
      </c>
      <c r="B43" s="24">
        <v>144905.59895833334</v>
      </c>
      <c r="C43" s="25">
        <v>144000</v>
      </c>
      <c r="D43" s="30">
        <v>47</v>
      </c>
      <c r="E43" s="26">
        <v>6768</v>
      </c>
      <c r="F43" s="33">
        <f t="shared" si="0"/>
        <v>184.19333768778577</v>
      </c>
    </row>
    <row r="44" spans="1:6" ht="15.75" x14ac:dyDescent="0.25">
      <c r="A44" s="16" t="s">
        <v>45</v>
      </c>
      <c r="B44" s="27">
        <v>446766.92708333337</v>
      </c>
      <c r="C44" s="28">
        <v>444100</v>
      </c>
      <c r="D44" s="31">
        <v>45.050664264805221</v>
      </c>
      <c r="E44" s="29">
        <v>20007</v>
      </c>
      <c r="F44" s="34">
        <f t="shared" si="0"/>
        <v>544.49706074461142</v>
      </c>
    </row>
    <row r="45" spans="1:6" x14ac:dyDescent="0.2">
      <c r="A45" s="15" t="s">
        <v>46</v>
      </c>
      <c r="B45" s="24"/>
      <c r="C45" s="25"/>
      <c r="D45" s="30"/>
      <c r="E45" s="26">
        <v>0</v>
      </c>
      <c r="F45" s="33">
        <f t="shared" si="0"/>
        <v>0</v>
      </c>
    </row>
    <row r="46" spans="1:6" x14ac:dyDescent="0.2">
      <c r="A46" s="15" t="s">
        <v>47</v>
      </c>
      <c r="B46" s="26"/>
      <c r="C46" s="25"/>
      <c r="D46" s="30"/>
      <c r="E46" s="26">
        <v>0</v>
      </c>
      <c r="F46" s="33">
        <f t="shared" si="0"/>
        <v>0</v>
      </c>
    </row>
    <row r="47" spans="1:6" x14ac:dyDescent="0.2">
      <c r="A47" s="17" t="s">
        <v>48</v>
      </c>
      <c r="B47" s="26">
        <v>1000</v>
      </c>
      <c r="C47" s="25">
        <v>1000</v>
      </c>
      <c r="D47" s="30">
        <v>37.5</v>
      </c>
      <c r="E47" s="26">
        <v>38</v>
      </c>
      <c r="F47" s="33">
        <f t="shared" si="0"/>
        <v>1.0341824515567168</v>
      </c>
    </row>
    <row r="48" spans="1:6" x14ac:dyDescent="0.2">
      <c r="A48" s="15" t="s">
        <v>49</v>
      </c>
      <c r="B48" s="24"/>
      <c r="C48" s="25"/>
      <c r="D48" s="30"/>
      <c r="E48" s="26">
        <v>0</v>
      </c>
      <c r="F48" s="33">
        <f t="shared" si="0"/>
        <v>0</v>
      </c>
    </row>
    <row r="49" spans="1:6" x14ac:dyDescent="0.2">
      <c r="A49" s="15" t="s">
        <v>50</v>
      </c>
      <c r="B49" s="26"/>
      <c r="C49" s="25"/>
      <c r="D49" s="30"/>
      <c r="E49" s="26">
        <v>0</v>
      </c>
      <c r="F49" s="33">
        <f t="shared" si="0"/>
        <v>0</v>
      </c>
    </row>
    <row r="50" spans="1:6" x14ac:dyDescent="0.2">
      <c r="A50" s="15" t="s">
        <v>51</v>
      </c>
      <c r="B50" s="26"/>
      <c r="C50" s="25"/>
      <c r="D50" s="30"/>
      <c r="E50" s="26">
        <v>0</v>
      </c>
      <c r="F50" s="33">
        <f t="shared" si="0"/>
        <v>0</v>
      </c>
    </row>
    <row r="51" spans="1:6" x14ac:dyDescent="0.2">
      <c r="A51" s="15" t="s">
        <v>52</v>
      </c>
      <c r="B51" s="26"/>
      <c r="C51" s="25"/>
      <c r="D51" s="30"/>
      <c r="E51" s="26">
        <v>0</v>
      </c>
      <c r="F51" s="33">
        <f t="shared" si="0"/>
        <v>0</v>
      </c>
    </row>
    <row r="52" spans="1:6" x14ac:dyDescent="0.2">
      <c r="A52" s="15" t="s">
        <v>53</v>
      </c>
      <c r="B52" s="26"/>
      <c r="C52" s="25"/>
      <c r="D52" s="30"/>
      <c r="E52" s="26">
        <v>0</v>
      </c>
      <c r="F52" s="33">
        <f t="shared" si="0"/>
        <v>0</v>
      </c>
    </row>
    <row r="53" spans="1:6" x14ac:dyDescent="0.2">
      <c r="A53" s="15" t="s">
        <v>54</v>
      </c>
      <c r="B53" s="26">
        <v>1000</v>
      </c>
      <c r="C53" s="25">
        <v>1000</v>
      </c>
      <c r="D53" s="30">
        <v>28</v>
      </c>
      <c r="E53" s="26">
        <v>28</v>
      </c>
      <c r="F53" s="33">
        <f t="shared" si="0"/>
        <v>0.76202917483126498</v>
      </c>
    </row>
    <row r="54" spans="1:6" x14ac:dyDescent="0.2">
      <c r="A54" s="15" t="s">
        <v>55</v>
      </c>
      <c r="B54" s="24">
        <v>7000</v>
      </c>
      <c r="C54" s="25">
        <v>7000</v>
      </c>
      <c r="D54" s="30">
        <v>38.6</v>
      </c>
      <c r="E54" s="26">
        <v>270</v>
      </c>
      <c r="F54" s="33">
        <f t="shared" si="0"/>
        <v>7.3481384715871982</v>
      </c>
    </row>
    <row r="55" spans="1:6" ht="15.75" x14ac:dyDescent="0.25">
      <c r="A55" s="16" t="s">
        <v>56</v>
      </c>
      <c r="B55" s="27">
        <v>8999.3489583333339</v>
      </c>
      <c r="C55" s="28">
        <v>9000</v>
      </c>
      <c r="D55" s="31">
        <v>29.3</v>
      </c>
      <c r="E55" s="29">
        <v>264</v>
      </c>
      <c r="F55" s="34">
        <f t="shared" si="0"/>
        <v>7.1848465055519268</v>
      </c>
    </row>
    <row r="56" spans="1:6" ht="16.5" thickBot="1" x14ac:dyDescent="0.3">
      <c r="A56" s="18" t="s">
        <v>0</v>
      </c>
      <c r="B56" s="27">
        <v>3070000</v>
      </c>
      <c r="C56" s="28">
        <v>3060000</v>
      </c>
      <c r="D56" s="31">
        <v>45.48052712468526</v>
      </c>
      <c r="E56" s="29">
        <v>139300</v>
      </c>
      <c r="F56" s="34">
        <f t="shared" si="0"/>
        <v>3791.0951447855432</v>
      </c>
    </row>
    <row r="57" spans="1:6" ht="15.75" x14ac:dyDescent="0.25">
      <c r="A57" s="5"/>
      <c r="B57" s="6"/>
      <c r="C57" s="6"/>
      <c r="D57" s="73"/>
      <c r="E57" s="73"/>
      <c r="F57" s="56"/>
    </row>
    <row r="58" spans="1:6" x14ac:dyDescent="0.2">
      <c r="A58" s="8"/>
      <c r="B58" s="19"/>
      <c r="C58" s="19"/>
      <c r="D58" s="20"/>
      <c r="E58" s="20"/>
      <c r="F58" s="19"/>
    </row>
    <row r="59" spans="1:6" ht="210" x14ac:dyDescent="0.2">
      <c r="A59" s="23" t="s">
        <v>58</v>
      </c>
      <c r="B59" s="23"/>
      <c r="C59" s="23"/>
      <c r="D59" s="23"/>
      <c r="E59" s="23"/>
      <c r="F59" s="23"/>
    </row>
    <row r="60" spans="1:6" ht="15.75" x14ac:dyDescent="0.25">
      <c r="A60" s="10" t="s">
        <v>76</v>
      </c>
      <c r="B60" s="3"/>
      <c r="C60" s="3"/>
      <c r="D60" s="4"/>
      <c r="E60" s="4"/>
      <c r="F60" s="3"/>
    </row>
    <row r="61" spans="1:6" x14ac:dyDescent="0.2">
      <c r="A61" s="74" t="s">
        <v>78</v>
      </c>
      <c r="B61" s="3"/>
      <c r="C61" s="3"/>
      <c r="D61" s="4"/>
      <c r="E61" s="4"/>
      <c r="F61" s="3"/>
    </row>
    <row r="62" spans="1:6" x14ac:dyDescent="0.2">
      <c r="A62" s="2"/>
      <c r="B62" s="3"/>
      <c r="C62" s="3"/>
      <c r="D62" s="4"/>
      <c r="E62" s="4"/>
      <c r="F62" s="3"/>
    </row>
    <row r="63" spans="1:6" x14ac:dyDescent="0.2">
      <c r="A63" s="2"/>
      <c r="B63" s="3"/>
      <c r="C63" s="3"/>
      <c r="D63" s="4"/>
      <c r="E63" s="4"/>
      <c r="F63" s="3"/>
    </row>
    <row r="64" spans="1:6" x14ac:dyDescent="0.2">
      <c r="A64" s="2"/>
      <c r="B64" s="3"/>
      <c r="C64" s="3"/>
      <c r="D64" s="4"/>
      <c r="E64" s="4"/>
      <c r="F64" s="3"/>
    </row>
    <row r="65" spans="1:6" x14ac:dyDescent="0.2">
      <c r="A65" s="2"/>
      <c r="B65" s="3"/>
      <c r="C65" s="3"/>
      <c r="D65" s="4"/>
      <c r="E65" s="4"/>
      <c r="F65" s="3"/>
    </row>
    <row r="66" spans="1:6" x14ac:dyDescent="0.2">
      <c r="A66" s="2"/>
      <c r="B66" s="3"/>
      <c r="C66" s="3"/>
      <c r="D66" s="4"/>
      <c r="E66" s="4"/>
      <c r="F66" s="3"/>
    </row>
    <row r="67" spans="1:6" x14ac:dyDescent="0.2">
      <c r="A67" s="2"/>
      <c r="B67" s="3"/>
      <c r="C67" s="3"/>
      <c r="D67" s="4"/>
      <c r="E67" s="4"/>
      <c r="F67" s="3"/>
    </row>
    <row r="68" spans="1:6" x14ac:dyDescent="0.2">
      <c r="A68" s="2"/>
      <c r="B68" s="3"/>
      <c r="C68" s="3"/>
      <c r="D68" s="4"/>
      <c r="E68" s="4"/>
      <c r="F68" s="3"/>
    </row>
    <row r="69" spans="1:6" x14ac:dyDescent="0.2">
      <c r="A69" s="2"/>
      <c r="B69" s="3"/>
      <c r="C69" s="3"/>
      <c r="D69" s="4"/>
      <c r="E69" s="4"/>
      <c r="F69" s="3"/>
    </row>
    <row r="70" spans="1:6" x14ac:dyDescent="0.2">
      <c r="A70" s="2"/>
      <c r="B70" s="3"/>
      <c r="C70" s="3"/>
      <c r="D70" s="4"/>
      <c r="E70" s="4"/>
      <c r="F70" s="3"/>
    </row>
    <row r="71" spans="1:6" x14ac:dyDescent="0.2">
      <c r="A71" s="2"/>
      <c r="B71" s="3"/>
      <c r="C71" s="3"/>
      <c r="D71" s="4"/>
      <c r="E71" s="4"/>
      <c r="F71" s="3"/>
    </row>
    <row r="72" spans="1:6" x14ac:dyDescent="0.2">
      <c r="A72" s="2"/>
      <c r="B72" s="3"/>
      <c r="C72" s="3"/>
      <c r="D72" s="4"/>
      <c r="E72" s="4"/>
      <c r="F72" s="3"/>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row>
    <row r="84" spans="1:6" x14ac:dyDescent="0.2">
      <c r="A84" s="2"/>
    </row>
    <row r="85" spans="1:6" x14ac:dyDescent="0.2">
      <c r="A85" s="2"/>
    </row>
    <row r="86" spans="1:6" x14ac:dyDescent="0.2">
      <c r="A86" s="2"/>
    </row>
    <row r="87" spans="1:6" x14ac:dyDescent="0.2">
      <c r="A87" s="2"/>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7A314-748D-45B9-A01B-CD8DA738FA14}">
  <dimension ref="A1:F87"/>
  <sheetViews>
    <sheetView workbookViewId="0"/>
  </sheetViews>
  <sheetFormatPr defaultRowHeight="15" x14ac:dyDescent="0.2"/>
  <cols>
    <col min="1" max="1" width="34.5546875" style="1" customWidth="1"/>
    <col min="2" max="2" width="13.77734375" style="1" customWidth="1"/>
    <col min="3" max="3" width="13.109375" style="1" customWidth="1"/>
    <col min="4" max="4" width="15.33203125" style="1" customWidth="1"/>
    <col min="5" max="5" width="14.6640625" style="1" customWidth="1"/>
    <col min="6" max="6" width="14.33203125" style="1" customWidth="1"/>
  </cols>
  <sheetData>
    <row r="1" spans="1:6" ht="16.5" thickBot="1" x14ac:dyDescent="0.3">
      <c r="A1" s="135" t="s">
        <v>79</v>
      </c>
      <c r="B1" s="136"/>
      <c r="C1" s="136"/>
      <c r="D1" s="136"/>
      <c r="E1" s="136"/>
      <c r="F1" s="136"/>
    </row>
    <row r="2" spans="1:6" ht="30.75" thickBot="1" x14ac:dyDescent="0.3">
      <c r="A2" s="11"/>
      <c r="B2" s="12" t="s">
        <v>59</v>
      </c>
      <c r="C2" s="12" t="s">
        <v>57</v>
      </c>
      <c r="D2" s="13" t="s">
        <v>3</v>
      </c>
      <c r="E2" s="14" t="s">
        <v>1</v>
      </c>
      <c r="F2" s="49" t="s">
        <v>2</v>
      </c>
    </row>
    <row r="3" spans="1:6" x14ac:dyDescent="0.2">
      <c r="A3" s="15" t="s">
        <v>4</v>
      </c>
      <c r="B3" s="36">
        <v>46619.960323995241</v>
      </c>
      <c r="C3" s="75">
        <v>46589.680249091289</v>
      </c>
      <c r="D3" s="76">
        <v>42.35904423119716</v>
      </c>
      <c r="E3" s="77">
        <v>1973.4943263885905</v>
      </c>
      <c r="F3" s="78">
        <f>+E3/36.744</f>
        <v>53.709294752574309</v>
      </c>
    </row>
    <row r="4" spans="1:6" x14ac:dyDescent="0.2">
      <c r="A4" s="15" t="s">
        <v>5</v>
      </c>
      <c r="B4" s="36">
        <v>187609.03363377537</v>
      </c>
      <c r="C4" s="75">
        <v>187487.17991378915</v>
      </c>
      <c r="D4" s="76">
        <v>47.364619892736577</v>
      </c>
      <c r="E4" s="77">
        <v>8880.2590113777387</v>
      </c>
      <c r="F4" s="78">
        <f t="shared" ref="F4:F56" si="0">+E4/36.744</f>
        <v>241.67915881171726</v>
      </c>
    </row>
    <row r="5" spans="1:6" x14ac:dyDescent="0.2">
      <c r="A5" s="15" t="s">
        <v>6</v>
      </c>
      <c r="B5" s="36">
        <v>106732.72353617272</v>
      </c>
      <c r="C5" s="75">
        <v>106663.39969203135</v>
      </c>
      <c r="D5" s="76">
        <v>44.711292482964026</v>
      </c>
      <c r="E5" s="77">
        <v>4769.0584608577092</v>
      </c>
      <c r="F5" s="78">
        <f t="shared" si="0"/>
        <v>129.79148870176653</v>
      </c>
    </row>
    <row r="6" spans="1:6" x14ac:dyDescent="0.2">
      <c r="A6" s="15" t="s">
        <v>7</v>
      </c>
      <c r="B6" s="36">
        <v>120987.73125236621</v>
      </c>
      <c r="C6" s="75">
        <v>120909.14865514133</v>
      </c>
      <c r="D6" s="76">
        <v>47.999878517730963</v>
      </c>
      <c r="E6" s="77">
        <v>5803.6244471290574</v>
      </c>
      <c r="F6" s="78">
        <f t="shared" si="0"/>
        <v>157.94754101701113</v>
      </c>
    </row>
    <row r="7" spans="1:6" x14ac:dyDescent="0.2">
      <c r="A7" s="15" t="s">
        <v>8</v>
      </c>
      <c r="B7" s="36">
        <v>148802.45695824089</v>
      </c>
      <c r="C7" s="75">
        <v>148705.80845165113</v>
      </c>
      <c r="D7" s="76">
        <v>39.708700758021884</v>
      </c>
      <c r="E7" s="77">
        <v>5904.9144487863359</v>
      </c>
      <c r="F7" s="78">
        <f t="shared" si="0"/>
        <v>160.70418160206663</v>
      </c>
    </row>
    <row r="8" spans="1:6" x14ac:dyDescent="0.2">
      <c r="A8" s="15" t="s">
        <v>9</v>
      </c>
      <c r="B8" s="36">
        <v>14158.817257788771</v>
      </c>
      <c r="C8" s="75">
        <v>14149.620981255337</v>
      </c>
      <c r="D8" s="76">
        <v>46.630016148451951</v>
      </c>
      <c r="E8" s="77">
        <v>659.79705485041086</v>
      </c>
      <c r="F8" s="78">
        <f t="shared" si="0"/>
        <v>17.956593045134195</v>
      </c>
    </row>
    <row r="9" spans="1:6" x14ac:dyDescent="0.2">
      <c r="A9" s="15" t="s">
        <v>10</v>
      </c>
      <c r="B9" s="36">
        <v>270973.74906836939</v>
      </c>
      <c r="C9" s="75">
        <v>270797.74923135171</v>
      </c>
      <c r="D9" s="76">
        <v>45.818833782382953</v>
      </c>
      <c r="E9" s="77">
        <v>12407.637060674726</v>
      </c>
      <c r="F9" s="78">
        <f t="shared" si="0"/>
        <v>337.67790824827796</v>
      </c>
    </row>
    <row r="10" spans="1:6" x14ac:dyDescent="0.2">
      <c r="A10" s="15" t="s">
        <v>11</v>
      </c>
      <c r="B10" s="36">
        <v>167725.83855244549</v>
      </c>
      <c r="C10" s="75">
        <v>167616.89914281495</v>
      </c>
      <c r="D10" s="76">
        <v>45.417164813319737</v>
      </c>
      <c r="E10" s="77">
        <v>7612.6843338668177</v>
      </c>
      <c r="F10" s="78">
        <f t="shared" si="0"/>
        <v>207.18169861383674</v>
      </c>
    </row>
    <row r="11" spans="1:6" x14ac:dyDescent="0.2">
      <c r="A11" s="15" t="s">
        <v>12</v>
      </c>
      <c r="B11" s="36">
        <v>63612.213910879233</v>
      </c>
      <c r="C11" s="75">
        <v>63570.897217586462</v>
      </c>
      <c r="D11" s="76">
        <v>41.777577974085297</v>
      </c>
      <c r="E11" s="77">
        <v>2655.8381153902801</v>
      </c>
      <c r="F11" s="78">
        <f t="shared" si="0"/>
        <v>72.279504555581326</v>
      </c>
    </row>
    <row r="12" spans="1:6" x14ac:dyDescent="0.2">
      <c r="A12" s="15" t="s">
        <v>13</v>
      </c>
      <c r="B12" s="36">
        <v>104477.47550596668</v>
      </c>
      <c r="C12" s="75">
        <v>104409.61646528731</v>
      </c>
      <c r="D12" s="76">
        <v>49.877520069329215</v>
      </c>
      <c r="E12" s="77">
        <v>5207.6927406783334</v>
      </c>
      <c r="F12" s="78">
        <f t="shared" si="0"/>
        <v>141.72906435549569</v>
      </c>
    </row>
    <row r="13" spans="1:6" ht="15.75" x14ac:dyDescent="0.25">
      <c r="A13" s="16" t="s">
        <v>14</v>
      </c>
      <c r="B13" s="37">
        <v>1231700</v>
      </c>
      <c r="C13" s="79">
        <v>1230900</v>
      </c>
      <c r="D13" s="80">
        <v>45.393614428466975</v>
      </c>
      <c r="E13" s="81">
        <v>55875</v>
      </c>
      <c r="F13" s="82">
        <f t="shared" si="0"/>
        <v>1520.6564337034617</v>
      </c>
    </row>
    <row r="14" spans="1:6" x14ac:dyDescent="0.2">
      <c r="A14" s="15" t="s">
        <v>15</v>
      </c>
      <c r="B14" s="36">
        <v>125938.75360343834</v>
      </c>
      <c r="C14" s="75">
        <v>125379.58698044972</v>
      </c>
      <c r="D14" s="76">
        <v>45.868437828181904</v>
      </c>
      <c r="E14" s="77">
        <v>5750.965790335883</v>
      </c>
      <c r="F14" s="78">
        <f t="shared" si="0"/>
        <v>156.51441841758881</v>
      </c>
    </row>
    <row r="15" spans="1:6" x14ac:dyDescent="0.2">
      <c r="A15" s="15" t="s">
        <v>16</v>
      </c>
      <c r="B15" s="36">
        <v>15671.114239290768</v>
      </c>
      <c r="C15" s="75">
        <v>15601.534671628491</v>
      </c>
      <c r="D15" s="76">
        <v>41.414315132652355</v>
      </c>
      <c r="E15" s="77">
        <v>646.12687344382425</v>
      </c>
      <c r="F15" s="78">
        <f t="shared" si="0"/>
        <v>17.584554578810806</v>
      </c>
    </row>
    <row r="16" spans="1:6" x14ac:dyDescent="0.2">
      <c r="A16" s="15" t="s">
        <v>17</v>
      </c>
      <c r="B16" s="36">
        <v>33753.329988843383</v>
      </c>
      <c r="C16" s="75">
        <v>33603.465590439751</v>
      </c>
      <c r="D16" s="76">
        <v>39.305856979689345</v>
      </c>
      <c r="E16" s="77">
        <v>1320.813012519737</v>
      </c>
      <c r="F16" s="78">
        <f t="shared" si="0"/>
        <v>35.946358929886159</v>
      </c>
    </row>
    <row r="17" spans="1:6" x14ac:dyDescent="0.2">
      <c r="A17" s="15" t="s">
        <v>18</v>
      </c>
      <c r="B17" s="36">
        <v>5479.8712121779372</v>
      </c>
      <c r="C17" s="75">
        <v>5455.5406467844232</v>
      </c>
      <c r="D17" s="76">
        <v>46.504617705500308</v>
      </c>
      <c r="E17" s="77">
        <v>253.70783215552748</v>
      </c>
      <c r="F17" s="78">
        <f t="shared" si="0"/>
        <v>6.9047417852037745</v>
      </c>
    </row>
    <row r="18" spans="1:6" x14ac:dyDescent="0.2">
      <c r="A18" s="15" t="s">
        <v>19</v>
      </c>
      <c r="B18" s="36">
        <v>215768.49131056585</v>
      </c>
      <c r="C18" s="75">
        <v>214810.48168142987</v>
      </c>
      <c r="D18" s="76">
        <v>49.385044294727422</v>
      </c>
      <c r="E18" s="77">
        <v>10608.425152809146</v>
      </c>
      <c r="F18" s="78">
        <f t="shared" si="0"/>
        <v>288.71176662337109</v>
      </c>
    </row>
    <row r="19" spans="1:6" x14ac:dyDescent="0.2">
      <c r="A19" s="15" t="s">
        <v>20</v>
      </c>
      <c r="B19" s="36">
        <v>19650.581866375145</v>
      </c>
      <c r="C19" s="75">
        <v>19563.333508045493</v>
      </c>
      <c r="D19" s="76">
        <v>43.249608219577553</v>
      </c>
      <c r="E19" s="77">
        <v>846.10650969190124</v>
      </c>
      <c r="F19" s="78">
        <f t="shared" si="0"/>
        <v>23.027065907138613</v>
      </c>
    </row>
    <row r="20" spans="1:6" x14ac:dyDescent="0.2">
      <c r="A20" s="15" t="s">
        <v>21</v>
      </c>
      <c r="B20" s="36">
        <v>90718.478506660264</v>
      </c>
      <c r="C20" s="75">
        <v>90315.689501546192</v>
      </c>
      <c r="D20" s="76">
        <v>46.500282203426671</v>
      </c>
      <c r="E20" s="77">
        <v>4199.7050492189574</v>
      </c>
      <c r="F20" s="78">
        <f t="shared" si="0"/>
        <v>114.29634904253639</v>
      </c>
    </row>
    <row r="21" spans="1:6" x14ac:dyDescent="0.2">
      <c r="A21" s="15" t="s">
        <v>22</v>
      </c>
      <c r="B21" s="36">
        <v>79332.140498528679</v>
      </c>
      <c r="C21" s="75">
        <v>78979.906703705652</v>
      </c>
      <c r="D21" s="76">
        <v>43.435575922509393</v>
      </c>
      <c r="E21" s="77">
        <v>3430.5377339815154</v>
      </c>
      <c r="F21" s="78">
        <f t="shared" si="0"/>
        <v>93.363208523337562</v>
      </c>
    </row>
    <row r="22" spans="1:6" x14ac:dyDescent="0.2">
      <c r="A22" s="15" t="s">
        <v>23</v>
      </c>
      <c r="B22" s="36">
        <v>26973.806054525168</v>
      </c>
      <c r="C22" s="75">
        <v>26854.04266470989</v>
      </c>
      <c r="D22" s="76">
        <v>46.827795123016124</v>
      </c>
      <c r="E22" s="77">
        <v>1257.5156081277687</v>
      </c>
      <c r="F22" s="78">
        <f t="shared" si="0"/>
        <v>34.223699328537144</v>
      </c>
    </row>
    <row r="23" spans="1:6" x14ac:dyDescent="0.2">
      <c r="A23" s="15" t="s">
        <v>24</v>
      </c>
      <c r="B23" s="36">
        <v>84913.432719594464</v>
      </c>
      <c r="C23" s="75">
        <v>84536.418051260553</v>
      </c>
      <c r="D23" s="76">
        <v>45.342546160300465</v>
      </c>
      <c r="E23" s="77">
        <v>3833.0964377157388</v>
      </c>
      <c r="F23" s="78">
        <f t="shared" si="0"/>
        <v>104.31897555289949</v>
      </c>
    </row>
    <row r="24" spans="1:6" ht="15.75" x14ac:dyDescent="0.25">
      <c r="A24" s="16" t="s">
        <v>25</v>
      </c>
      <c r="B24" s="37">
        <v>698200</v>
      </c>
      <c r="C24" s="79">
        <v>695099.99999999988</v>
      </c>
      <c r="D24" s="80">
        <v>46.248021867357224</v>
      </c>
      <c r="E24" s="81">
        <v>32147</v>
      </c>
      <c r="F24" s="82">
        <f t="shared" si="0"/>
        <v>874.89113868930986</v>
      </c>
    </row>
    <row r="25" spans="1:6" x14ac:dyDescent="0.2">
      <c r="A25" s="15" t="s">
        <v>26</v>
      </c>
      <c r="B25" s="36">
        <v>42969.609413504186</v>
      </c>
      <c r="C25" s="75">
        <v>42821.874999999993</v>
      </c>
      <c r="D25" s="76">
        <v>42.649969324263942</v>
      </c>
      <c r="E25" s="77">
        <v>1826.3516551574646</v>
      </c>
      <c r="F25" s="78">
        <f t="shared" si="0"/>
        <v>49.704758740405637</v>
      </c>
    </row>
    <row r="26" spans="1:6" x14ac:dyDescent="0.2">
      <c r="A26" s="15" t="s">
        <v>27</v>
      </c>
      <c r="B26" s="36">
        <v>0</v>
      </c>
      <c r="C26" s="75">
        <v>0</v>
      </c>
      <c r="D26" s="75">
        <v>0</v>
      </c>
      <c r="E26" s="36">
        <v>0</v>
      </c>
      <c r="F26" s="36">
        <f t="shared" si="0"/>
        <v>0</v>
      </c>
    </row>
    <row r="27" spans="1:6" x14ac:dyDescent="0.2">
      <c r="A27" s="15" t="s">
        <v>28</v>
      </c>
      <c r="B27" s="36">
        <v>13420.098160013144</v>
      </c>
      <c r="C27" s="75">
        <v>13373.958333333334</v>
      </c>
      <c r="D27" s="76">
        <v>44.332622645999855</v>
      </c>
      <c r="E27" s="77">
        <v>592.90264807499193</v>
      </c>
      <c r="F27" s="78">
        <f t="shared" si="0"/>
        <v>16.136039845280642</v>
      </c>
    </row>
    <row r="28" spans="1:6" x14ac:dyDescent="0.2">
      <c r="A28" s="15" t="s">
        <v>29</v>
      </c>
      <c r="B28" s="36">
        <v>37250.989814358465</v>
      </c>
      <c r="C28" s="75">
        <v>37122.916666666664</v>
      </c>
      <c r="D28" s="76">
        <v>37.546421597308495</v>
      </c>
      <c r="E28" s="77">
        <v>1393.8326800884167</v>
      </c>
      <c r="F28" s="78">
        <f t="shared" si="0"/>
        <v>37.933613109308098</v>
      </c>
    </row>
    <row r="29" spans="1:6" x14ac:dyDescent="0.2">
      <c r="A29" s="15" t="s">
        <v>30</v>
      </c>
      <c r="B29" s="36">
        <v>0</v>
      </c>
      <c r="C29" s="75">
        <v>0</v>
      </c>
      <c r="D29" s="36">
        <v>0</v>
      </c>
      <c r="E29" s="36">
        <v>0</v>
      </c>
      <c r="F29" s="36">
        <f t="shared" si="0"/>
        <v>0</v>
      </c>
    </row>
    <row r="30" spans="1:6" x14ac:dyDescent="0.2">
      <c r="A30" s="15" t="s">
        <v>31</v>
      </c>
      <c r="B30" s="36">
        <v>44635.75447675374</v>
      </c>
      <c r="C30" s="75">
        <v>44482.291666666672</v>
      </c>
      <c r="D30" s="76">
        <v>44.088834549500035</v>
      </c>
      <c r="E30" s="77">
        <v>1961.1723976742712</v>
      </c>
      <c r="F30" s="78">
        <f t="shared" si="0"/>
        <v>53.373949425056367</v>
      </c>
    </row>
    <row r="31" spans="1:6" x14ac:dyDescent="0.2">
      <c r="A31" s="15" t="s">
        <v>32</v>
      </c>
      <c r="B31" s="36">
        <v>511.13233119763436</v>
      </c>
      <c r="C31" s="75">
        <v>509.37500000000006</v>
      </c>
      <c r="D31" s="76">
        <v>41.104931539102246</v>
      </c>
      <c r="E31" s="77">
        <v>20.937824502730209</v>
      </c>
      <c r="F31" s="78">
        <f t="shared" si="0"/>
        <v>0.56982975459204788</v>
      </c>
    </row>
    <row r="32" spans="1:6" x14ac:dyDescent="0.2">
      <c r="A32" s="15" t="s">
        <v>33</v>
      </c>
      <c r="B32" s="36">
        <v>13840.292837194022</v>
      </c>
      <c r="C32" s="75">
        <v>13792.708333333334</v>
      </c>
      <c r="D32" s="76">
        <v>40.301459674728058</v>
      </c>
      <c r="E32" s="77">
        <v>555.86627870111897</v>
      </c>
      <c r="F32" s="78">
        <f t="shared" si="0"/>
        <v>15.128082916969273</v>
      </c>
    </row>
    <row r="33" spans="1:6" x14ac:dyDescent="0.2">
      <c r="A33" s="15" t="s">
        <v>34</v>
      </c>
      <c r="B33" s="36">
        <v>19395.851815344176</v>
      </c>
      <c r="C33" s="75">
        <v>19329.166666666668</v>
      </c>
      <c r="D33" s="76">
        <v>43.001429525731183</v>
      </c>
      <c r="E33" s="77">
        <v>831.18179820777902</v>
      </c>
      <c r="F33" s="78">
        <f t="shared" si="0"/>
        <v>22.620884993680029</v>
      </c>
    </row>
    <row r="34" spans="1:6" x14ac:dyDescent="0.2">
      <c r="A34" s="15" t="s">
        <v>35</v>
      </c>
      <c r="B34" s="36">
        <v>31576.271151634632</v>
      </c>
      <c r="C34" s="75">
        <v>31467.708333333332</v>
      </c>
      <c r="D34" s="76">
        <v>41.939969177711887</v>
      </c>
      <c r="E34" s="77">
        <v>1319.7547175932275</v>
      </c>
      <c r="F34" s="78">
        <f t="shared" si="0"/>
        <v>35.917557086687012</v>
      </c>
    </row>
    <row r="35" spans="1:6" ht="15.75" x14ac:dyDescent="0.25">
      <c r="A35" s="16" t="s">
        <v>36</v>
      </c>
      <c r="B35" s="37">
        <v>203600</v>
      </c>
      <c r="C35" s="79">
        <v>202900.00000000003</v>
      </c>
      <c r="D35" s="80">
        <v>41.902414982750116</v>
      </c>
      <c r="E35" s="81">
        <v>8502</v>
      </c>
      <c r="F35" s="82">
        <f t="shared" si="0"/>
        <v>231.3847158719791</v>
      </c>
    </row>
    <row r="36" spans="1:6" x14ac:dyDescent="0.2">
      <c r="A36" s="15" t="s">
        <v>37</v>
      </c>
      <c r="B36" s="36">
        <v>18242.487251728875</v>
      </c>
      <c r="C36" s="75">
        <v>18227.251321396139</v>
      </c>
      <c r="D36" s="76">
        <v>34.227189262650832</v>
      </c>
      <c r="E36" s="77">
        <v>623.86758071532813</v>
      </c>
      <c r="F36" s="78">
        <f t="shared" si="0"/>
        <v>16.978760633445681</v>
      </c>
    </row>
    <row r="37" spans="1:6" x14ac:dyDescent="0.2">
      <c r="A37" s="15" t="s">
        <v>38</v>
      </c>
      <c r="B37" s="36">
        <v>19101.867417980302</v>
      </c>
      <c r="C37" s="75">
        <v>19085.91374251985</v>
      </c>
      <c r="D37" s="76">
        <v>46.848441650896028</v>
      </c>
      <c r="E37" s="77">
        <v>894.14531632047579</v>
      </c>
      <c r="F37" s="78">
        <f t="shared" si="0"/>
        <v>24.334457770533305</v>
      </c>
    </row>
    <row r="38" spans="1:6" x14ac:dyDescent="0.2">
      <c r="A38" s="15" t="s">
        <v>39</v>
      </c>
      <c r="B38" s="36">
        <v>35335.997857824761</v>
      </c>
      <c r="C38" s="75">
        <v>35306.485610170675</v>
      </c>
      <c r="D38" s="76">
        <v>47.391335965491834</v>
      </c>
      <c r="E38" s="77">
        <v>1673.2215213124014</v>
      </c>
      <c r="F38" s="78">
        <f t="shared" si="0"/>
        <v>45.537271971271537</v>
      </c>
    </row>
    <row r="39" spans="1:6" x14ac:dyDescent="0.2">
      <c r="A39" s="15" t="s">
        <v>40</v>
      </c>
      <c r="B39" s="36">
        <v>6633.5366847509722</v>
      </c>
      <c r="C39" s="75">
        <v>6627.9964258271821</v>
      </c>
      <c r="D39" s="76">
        <v>35.175343588875904</v>
      </c>
      <c r="E39" s="77">
        <v>233.14205158431258</v>
      </c>
      <c r="F39" s="78">
        <f t="shared" si="0"/>
        <v>6.3450373281164971</v>
      </c>
    </row>
    <row r="40" spans="1:6" x14ac:dyDescent="0.2">
      <c r="A40" s="15" t="s">
        <v>41</v>
      </c>
      <c r="B40" s="36">
        <v>42369.951335366844</v>
      </c>
      <c r="C40" s="75">
        <v>42334.564404964258</v>
      </c>
      <c r="D40" s="76">
        <v>46.134286925684023</v>
      </c>
      <c r="E40" s="77">
        <v>1953.0749411324707</v>
      </c>
      <c r="F40" s="78">
        <f t="shared" si="0"/>
        <v>53.153574491957073</v>
      </c>
    </row>
    <row r="41" spans="1:6" x14ac:dyDescent="0.2">
      <c r="A41" s="15" t="s">
        <v>42</v>
      </c>
      <c r="B41" s="36">
        <v>125893.96698255991</v>
      </c>
      <c r="C41" s="75">
        <v>125788.82168719586</v>
      </c>
      <c r="D41" s="76">
        <v>45.202857022529521</v>
      </c>
      <c r="E41" s="77">
        <v>5686.0141217587752</v>
      </c>
      <c r="F41" s="78">
        <f t="shared" si="0"/>
        <v>154.74673747438425</v>
      </c>
    </row>
    <row r="42" spans="1:6" x14ac:dyDescent="0.2">
      <c r="A42" s="15" t="s">
        <v>43</v>
      </c>
      <c r="B42" s="36">
        <v>21538.868838335624</v>
      </c>
      <c r="C42" s="75">
        <v>21520.879805341468</v>
      </c>
      <c r="D42" s="76">
        <v>40.053671116620819</v>
      </c>
      <c r="E42" s="77">
        <v>861.99024186347378</v>
      </c>
      <c r="F42" s="78">
        <f t="shared" si="0"/>
        <v>23.459346882850909</v>
      </c>
    </row>
    <row r="43" spans="1:6" x14ac:dyDescent="0.2">
      <c r="A43" s="15" t="s">
        <v>44</v>
      </c>
      <c r="B43" s="36">
        <v>90083.323631452717</v>
      </c>
      <c r="C43" s="75">
        <v>90008.08700258458</v>
      </c>
      <c r="D43" s="76">
        <v>49.323837147936288</v>
      </c>
      <c r="E43" s="77">
        <v>4439.544225312763</v>
      </c>
      <c r="F43" s="78">
        <f t="shared" si="0"/>
        <v>120.82365080864258</v>
      </c>
    </row>
    <row r="44" spans="1:6" ht="15.75" x14ac:dyDescent="0.25">
      <c r="A44" s="16" t="s">
        <v>45</v>
      </c>
      <c r="B44" s="37">
        <v>359200</v>
      </c>
      <c r="C44" s="79">
        <v>358900.00000000006</v>
      </c>
      <c r="D44" s="80">
        <v>45.597659515185278</v>
      </c>
      <c r="E44" s="81">
        <v>16365</v>
      </c>
      <c r="F44" s="82">
        <f t="shared" si="0"/>
        <v>445.37883736120182</v>
      </c>
    </row>
    <row r="45" spans="1:6" x14ac:dyDescent="0.2">
      <c r="A45" s="15" t="s">
        <v>46</v>
      </c>
      <c r="B45" s="36">
        <v>899.10820313409545</v>
      </c>
      <c r="C45" s="75">
        <v>898.35727757468499</v>
      </c>
      <c r="D45" s="76">
        <v>36.735240455806348</v>
      </c>
      <c r="E45" s="77">
        <v>33.001370606929626</v>
      </c>
      <c r="F45" s="78">
        <f t="shared" si="0"/>
        <v>0.89814311471069086</v>
      </c>
    </row>
    <row r="46" spans="1:6" x14ac:dyDescent="0.2">
      <c r="A46" s="15" t="s">
        <v>47</v>
      </c>
      <c r="B46" s="36">
        <v>0</v>
      </c>
      <c r="C46" s="75">
        <v>0</v>
      </c>
      <c r="D46" s="76">
        <v>0</v>
      </c>
      <c r="E46" s="36">
        <v>0</v>
      </c>
      <c r="F46" s="36">
        <f t="shared" si="0"/>
        <v>0</v>
      </c>
    </row>
    <row r="47" spans="1:6" x14ac:dyDescent="0.2">
      <c r="A47" s="17" t="s">
        <v>48</v>
      </c>
      <c r="B47" s="36">
        <v>0</v>
      </c>
      <c r="C47" s="75">
        <v>0</v>
      </c>
      <c r="D47" s="76">
        <v>0</v>
      </c>
      <c r="E47" s="36">
        <v>0</v>
      </c>
      <c r="F47" s="36">
        <f t="shared" si="0"/>
        <v>0</v>
      </c>
    </row>
    <row r="48" spans="1:6" x14ac:dyDescent="0.2">
      <c r="A48" s="15" t="s">
        <v>49</v>
      </c>
      <c r="B48" s="36">
        <v>485.1002398304887</v>
      </c>
      <c r="C48" s="75">
        <v>484.69508929610913</v>
      </c>
      <c r="D48" s="76">
        <v>40.878850325668346</v>
      </c>
      <c r="E48" s="77">
        <v>19.813778008922096</v>
      </c>
      <c r="F48" s="78">
        <f t="shared" si="0"/>
        <v>0.53923846094388461</v>
      </c>
    </row>
    <row r="49" spans="1:6" x14ac:dyDescent="0.2">
      <c r="A49" s="15" t="s">
        <v>50</v>
      </c>
      <c r="B49" s="36">
        <v>314.68787109693346</v>
      </c>
      <c r="C49" s="75">
        <v>314.42504715113984</v>
      </c>
      <c r="D49" s="76">
        <v>34.993696777061857</v>
      </c>
      <c r="E49" s="77">
        <v>11.002894759120364</v>
      </c>
      <c r="F49" s="78">
        <f t="shared" si="0"/>
        <v>0.29944738621599076</v>
      </c>
    </row>
    <row r="50" spans="1:6" x14ac:dyDescent="0.2">
      <c r="A50" s="15" t="s">
        <v>51</v>
      </c>
      <c r="B50" s="36">
        <v>740.19605560341824</v>
      </c>
      <c r="C50" s="75">
        <v>739.57785177078733</v>
      </c>
      <c r="D50" s="76">
        <v>35.088925728176676</v>
      </c>
      <c r="E50" s="77">
        <v>25.950992310989616</v>
      </c>
      <c r="F50" s="78">
        <f t="shared" si="0"/>
        <v>0.70626475917128284</v>
      </c>
    </row>
    <row r="51" spans="1:6" x14ac:dyDescent="0.2">
      <c r="A51" s="15" t="s">
        <v>52</v>
      </c>
      <c r="B51" s="36">
        <v>0</v>
      </c>
      <c r="C51" s="75">
        <v>0</v>
      </c>
      <c r="D51" s="76">
        <v>0</v>
      </c>
      <c r="E51" s="36">
        <v>0</v>
      </c>
      <c r="F51" s="36">
        <f t="shared" si="0"/>
        <v>0</v>
      </c>
    </row>
    <row r="52" spans="1:6" x14ac:dyDescent="0.2">
      <c r="A52" s="15" t="s">
        <v>53</v>
      </c>
      <c r="B52" s="36">
        <v>0</v>
      </c>
      <c r="C52" s="75">
        <v>0</v>
      </c>
      <c r="D52" s="76">
        <v>0</v>
      </c>
      <c r="E52" s="36">
        <v>0</v>
      </c>
      <c r="F52" s="36">
        <f t="shared" si="0"/>
        <v>0</v>
      </c>
    </row>
    <row r="53" spans="1:6" x14ac:dyDescent="0.2">
      <c r="A53" s="15" t="s">
        <v>54</v>
      </c>
      <c r="B53" s="36">
        <v>0</v>
      </c>
      <c r="C53" s="75">
        <v>0</v>
      </c>
      <c r="D53" s="76">
        <v>0</v>
      </c>
      <c r="E53" s="36">
        <v>0</v>
      </c>
      <c r="F53" s="36">
        <f t="shared" si="0"/>
        <v>0</v>
      </c>
    </row>
    <row r="54" spans="1:6" x14ac:dyDescent="0.2">
      <c r="A54" s="15" t="s">
        <v>55</v>
      </c>
      <c r="B54" s="36">
        <v>4865.6390434721861</v>
      </c>
      <c r="C54" s="75">
        <v>4861.575313758819</v>
      </c>
      <c r="D54" s="76">
        <v>24.589782100934514</v>
      </c>
      <c r="E54" s="77">
        <v>119.54507763261171</v>
      </c>
      <c r="F54" s="78">
        <f t="shared" si="0"/>
        <v>3.2534584594113789</v>
      </c>
    </row>
    <row r="55" spans="1:6" ht="15.75" x14ac:dyDescent="0.25">
      <c r="A55" s="16" t="s">
        <v>56</v>
      </c>
      <c r="B55" s="37">
        <v>7300</v>
      </c>
      <c r="C55" s="79">
        <v>7300</v>
      </c>
      <c r="D55" s="80">
        <v>28.63013698630137</v>
      </c>
      <c r="E55" s="81">
        <v>209</v>
      </c>
      <c r="F55" s="82">
        <f t="shared" si="0"/>
        <v>5.6880034835619417</v>
      </c>
    </row>
    <row r="56" spans="1:6" ht="16.5" thickBot="1" x14ac:dyDescent="0.3">
      <c r="A56" s="18" t="s">
        <v>0</v>
      </c>
      <c r="B56" s="37">
        <v>2500000</v>
      </c>
      <c r="C56" s="79">
        <v>2495100</v>
      </c>
      <c r="D56" s="80">
        <v>45.32804296420985</v>
      </c>
      <c r="E56" s="81">
        <v>113098</v>
      </c>
      <c r="F56" s="82">
        <f t="shared" si="0"/>
        <v>3077.9991291095143</v>
      </c>
    </row>
    <row r="57" spans="1:6" ht="15.75" x14ac:dyDescent="0.25">
      <c r="A57" s="5"/>
      <c r="B57" s="6"/>
      <c r="C57" s="6"/>
      <c r="D57" s="73"/>
      <c r="E57" s="56"/>
      <c r="F57" s="83"/>
    </row>
    <row r="58" spans="1:6" x14ac:dyDescent="0.2">
      <c r="A58" s="8"/>
      <c r="B58" s="19"/>
      <c r="C58" s="19"/>
      <c r="D58" s="20"/>
      <c r="E58" s="19"/>
      <c r="F58" s="8"/>
    </row>
    <row r="59" spans="1:6" ht="209.25" customHeight="1" x14ac:dyDescent="0.2">
      <c r="A59" s="23" t="s">
        <v>58</v>
      </c>
      <c r="B59" s="23"/>
      <c r="C59" s="23"/>
      <c r="D59" s="23"/>
      <c r="E59" s="23"/>
      <c r="F59" s="23"/>
    </row>
    <row r="60" spans="1:6" ht="15.75" x14ac:dyDescent="0.25">
      <c r="A60" s="10" t="s">
        <v>76</v>
      </c>
      <c r="B60" s="3"/>
      <c r="C60" s="3"/>
      <c r="D60" s="4"/>
      <c r="E60" s="3"/>
      <c r="F60" s="68"/>
    </row>
    <row r="61" spans="1:6" x14ac:dyDescent="0.2">
      <c r="A61" s="74" t="s">
        <v>80</v>
      </c>
      <c r="B61" s="3"/>
      <c r="C61" s="3"/>
      <c r="D61" s="4"/>
      <c r="E61" s="3"/>
      <c r="F61" s="68"/>
    </row>
    <row r="62" spans="1:6" x14ac:dyDescent="0.2">
      <c r="A62" s="2"/>
      <c r="B62" s="3"/>
      <c r="C62" s="3"/>
      <c r="D62" s="4"/>
      <c r="E62" s="3"/>
      <c r="F62" s="68"/>
    </row>
    <row r="63" spans="1:6" x14ac:dyDescent="0.2">
      <c r="A63" s="2"/>
      <c r="B63" s="3"/>
      <c r="C63" s="3"/>
      <c r="D63" s="4"/>
      <c r="E63" s="3"/>
      <c r="F63" s="68"/>
    </row>
    <row r="64" spans="1:6" x14ac:dyDescent="0.2">
      <c r="A64" s="2"/>
      <c r="B64" s="3"/>
      <c r="C64" s="3"/>
      <c r="D64" s="4"/>
      <c r="E64" s="3"/>
      <c r="F64" s="68"/>
    </row>
    <row r="65" spans="1:6" x14ac:dyDescent="0.2">
      <c r="A65" s="2"/>
      <c r="B65" s="3"/>
      <c r="C65" s="3"/>
      <c r="D65" s="4"/>
      <c r="E65" s="3"/>
      <c r="F65" s="68"/>
    </row>
    <row r="66" spans="1:6" x14ac:dyDescent="0.2">
      <c r="A66" s="2"/>
      <c r="B66" s="3"/>
      <c r="C66" s="3"/>
      <c r="D66" s="4"/>
      <c r="E66" s="3"/>
      <c r="F66" s="68"/>
    </row>
    <row r="67" spans="1:6" x14ac:dyDescent="0.2">
      <c r="A67" s="2"/>
      <c r="B67" s="3"/>
      <c r="C67" s="3"/>
      <c r="D67" s="4"/>
      <c r="E67" s="3"/>
      <c r="F67" s="68"/>
    </row>
    <row r="68" spans="1:6" x14ac:dyDescent="0.2">
      <c r="A68" s="2"/>
      <c r="B68" s="3"/>
      <c r="C68" s="3"/>
      <c r="D68" s="4"/>
      <c r="E68" s="3"/>
      <c r="F68" s="68"/>
    </row>
    <row r="69" spans="1:6" x14ac:dyDescent="0.2">
      <c r="A69" s="2"/>
      <c r="B69" s="3"/>
      <c r="C69" s="3"/>
      <c r="D69" s="4"/>
      <c r="E69" s="3"/>
      <c r="F69" s="68"/>
    </row>
    <row r="70" spans="1:6" x14ac:dyDescent="0.2">
      <c r="A70" s="2"/>
      <c r="B70" s="3"/>
      <c r="C70" s="3"/>
      <c r="D70" s="4"/>
      <c r="E70" s="3"/>
      <c r="F70" s="68"/>
    </row>
    <row r="71" spans="1:6" x14ac:dyDescent="0.2">
      <c r="A71" s="2"/>
      <c r="B71" s="3"/>
      <c r="C71" s="3"/>
      <c r="D71" s="4"/>
      <c r="E71" s="3"/>
      <c r="F71" s="68"/>
    </row>
    <row r="72" spans="1:6" x14ac:dyDescent="0.2">
      <c r="A72" s="2"/>
      <c r="B72" s="3"/>
      <c r="C72" s="3"/>
      <c r="D72" s="4"/>
      <c r="E72" s="3"/>
      <c r="F72" s="68"/>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row>
    <row r="84" spans="1:6" x14ac:dyDescent="0.2">
      <c r="A84" s="2"/>
    </row>
    <row r="85" spans="1:6" x14ac:dyDescent="0.2">
      <c r="A85" s="2"/>
    </row>
    <row r="86" spans="1:6" x14ac:dyDescent="0.2">
      <c r="A86" s="2"/>
    </row>
    <row r="87" spans="1:6" x14ac:dyDescent="0.2">
      <c r="A87" s="2"/>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B8106-6D7A-4847-A546-222AF79A2AAC}">
  <dimension ref="A1:F87"/>
  <sheetViews>
    <sheetView workbookViewId="0"/>
  </sheetViews>
  <sheetFormatPr defaultRowHeight="15" x14ac:dyDescent="0.2"/>
  <cols>
    <col min="1" max="1" width="34.5546875" style="1" customWidth="1"/>
    <col min="2" max="2" width="13.77734375" style="1" customWidth="1"/>
    <col min="3" max="3" width="13.109375" style="1" customWidth="1"/>
    <col min="4" max="4" width="15.33203125" style="1" customWidth="1"/>
    <col min="5" max="5" width="14.6640625" style="1" customWidth="1"/>
    <col min="6" max="6" width="14.33203125" style="1" customWidth="1"/>
  </cols>
  <sheetData>
    <row r="1" spans="1:6" ht="16.5" thickBot="1" x14ac:dyDescent="0.3">
      <c r="A1" s="135" t="s">
        <v>81</v>
      </c>
      <c r="B1" s="136"/>
      <c r="C1" s="136"/>
      <c r="D1" s="136"/>
      <c r="E1" s="136"/>
      <c r="F1" s="136"/>
    </row>
    <row r="2" spans="1:6" ht="30.75" thickBot="1" x14ac:dyDescent="0.3">
      <c r="A2" s="11"/>
      <c r="B2" s="12" t="s">
        <v>59</v>
      </c>
      <c r="C2" s="12" t="s">
        <v>57</v>
      </c>
      <c r="D2" s="13" t="s">
        <v>3</v>
      </c>
      <c r="E2" s="14" t="s">
        <v>1</v>
      </c>
      <c r="F2" s="49" t="s">
        <v>2</v>
      </c>
    </row>
    <row r="3" spans="1:6" x14ac:dyDescent="0.2">
      <c r="A3" s="15" t="s">
        <v>4</v>
      </c>
      <c r="B3" s="84">
        <v>43818.83074691629</v>
      </c>
      <c r="C3" s="84">
        <v>43264.083979829156</v>
      </c>
      <c r="D3" s="8">
        <v>44.066065059269853</v>
      </c>
      <c r="E3" s="77">
        <v>1906.477939384866</v>
      </c>
      <c r="F3" s="78">
        <v>51.885421820837848</v>
      </c>
    </row>
    <row r="4" spans="1:6" x14ac:dyDescent="0.2">
      <c r="A4" s="15" t="s">
        <v>5</v>
      </c>
      <c r="B4" s="84">
        <v>265905.81789854378</v>
      </c>
      <c r="C4" s="84">
        <v>262539.4479997016</v>
      </c>
      <c r="D4" s="8">
        <v>56.449156338892713</v>
      </c>
      <c r="E4" s="77">
        <v>14820.130345261749</v>
      </c>
      <c r="F4" s="78">
        <v>403.33470349612855</v>
      </c>
    </row>
    <row r="5" spans="1:6" x14ac:dyDescent="0.2">
      <c r="A5" s="15" t="s">
        <v>6</v>
      </c>
      <c r="B5" s="84">
        <v>113559.3114049584</v>
      </c>
      <c r="C5" s="84">
        <v>112121.64956413041</v>
      </c>
      <c r="D5" s="8">
        <v>54.897960465796608</v>
      </c>
      <c r="E5" s="77">
        <v>6155.2498851315322</v>
      </c>
      <c r="F5" s="78">
        <v>167.51714253025071</v>
      </c>
    </row>
    <row r="6" spans="1:6" x14ac:dyDescent="0.2">
      <c r="A6" s="15" t="s">
        <v>7</v>
      </c>
      <c r="B6" s="84">
        <v>176712.84507609176</v>
      </c>
      <c r="C6" s="84">
        <v>174475.65896597103</v>
      </c>
      <c r="D6" s="8">
        <v>52.183146409101511</v>
      </c>
      <c r="E6" s="77">
        <v>9104.688856645731</v>
      </c>
      <c r="F6" s="78">
        <v>247.78709059018428</v>
      </c>
    </row>
    <row r="7" spans="1:6" x14ac:dyDescent="0.2">
      <c r="A7" s="15" t="s">
        <v>8</v>
      </c>
      <c r="B7" s="84">
        <v>138588.59989954485</v>
      </c>
      <c r="C7" s="84">
        <v>136834.06705512805</v>
      </c>
      <c r="D7" s="8">
        <v>40.158470156576698</v>
      </c>
      <c r="E7" s="77">
        <v>5495.0467982363743</v>
      </c>
      <c r="F7" s="78">
        <v>149.54949918997318</v>
      </c>
    </row>
    <row r="8" spans="1:6" x14ac:dyDescent="0.2">
      <c r="A8" s="15" t="s">
        <v>9</v>
      </c>
      <c r="B8" s="84">
        <v>41817.647058823532</v>
      </c>
      <c r="C8" s="84">
        <v>41288.23529411765</v>
      </c>
      <c r="D8" s="8">
        <v>44.733604140919859</v>
      </c>
      <c r="E8" s="77">
        <v>1846.9715733242147</v>
      </c>
      <c r="F8" s="78">
        <v>50.265936569894805</v>
      </c>
    </row>
    <row r="9" spans="1:6" x14ac:dyDescent="0.2">
      <c r="A9" s="15" t="s">
        <v>10</v>
      </c>
      <c r="B9" s="84">
        <v>262988.83828539157</v>
      </c>
      <c r="C9" s="84">
        <v>259659.39737307126</v>
      </c>
      <c r="D9" s="8">
        <v>53.449298950941078</v>
      </c>
      <c r="E9" s="77">
        <v>13878.612755614489</v>
      </c>
      <c r="F9" s="78">
        <v>377.71099378441352</v>
      </c>
    </row>
    <row r="10" spans="1:6" x14ac:dyDescent="0.2">
      <c r="A10" s="15" t="s">
        <v>11</v>
      </c>
      <c r="B10" s="84">
        <v>178323.04249045547</v>
      </c>
      <c r="C10" s="84">
        <v>176065.47126747883</v>
      </c>
      <c r="D10" s="8">
        <v>52.071218858830171</v>
      </c>
      <c r="E10" s="77">
        <v>9167.9436878519646</v>
      </c>
      <c r="F10" s="78">
        <v>249.50859154833347</v>
      </c>
    </row>
    <row r="11" spans="1:6" x14ac:dyDescent="0.2">
      <c r="A11" s="15" t="s">
        <v>12</v>
      </c>
      <c r="B11" s="84">
        <v>122543.36193443001</v>
      </c>
      <c r="C11" s="84">
        <v>120991.96193807347</v>
      </c>
      <c r="D11" s="8">
        <v>34.389944409388512</v>
      </c>
      <c r="E11" s="77">
        <v>4160.9068450331979</v>
      </c>
      <c r="F11" s="78">
        <v>113.24044320251464</v>
      </c>
    </row>
    <row r="12" spans="1:6" x14ac:dyDescent="0.2">
      <c r="A12" s="15" t="s">
        <v>13</v>
      </c>
      <c r="B12" s="84">
        <v>77541.705204844402</v>
      </c>
      <c r="C12" s="84">
        <v>76560.02656249865</v>
      </c>
      <c r="D12" s="8">
        <v>48.744383734891017</v>
      </c>
      <c r="E12" s="77">
        <v>3731.8713135158832</v>
      </c>
      <c r="F12" s="78">
        <v>101.56410062910633</v>
      </c>
    </row>
    <row r="13" spans="1:6" ht="15.75" x14ac:dyDescent="0.25">
      <c r="A13" s="16" t="s">
        <v>14</v>
      </c>
      <c r="B13" s="85">
        <v>1421800.0000000002</v>
      </c>
      <c r="C13" s="85">
        <v>1403800</v>
      </c>
      <c r="D13" s="86">
        <v>50.055492235361172</v>
      </c>
      <c r="E13" s="81">
        <v>70267.900000000009</v>
      </c>
      <c r="F13" s="82">
        <v>1912.3639233616375</v>
      </c>
    </row>
    <row r="14" spans="1:6" x14ac:dyDescent="0.2">
      <c r="A14" s="15" t="s">
        <v>15</v>
      </c>
      <c r="B14" s="84">
        <v>98769.533945591713</v>
      </c>
      <c r="C14" s="84">
        <v>96164.356850262498</v>
      </c>
      <c r="D14" s="8">
        <v>42.897955724769012</v>
      </c>
      <c r="E14" s="77">
        <v>4125.2543224634483</v>
      </c>
      <c r="F14" s="78">
        <v>112.27014811842609</v>
      </c>
    </row>
    <row r="15" spans="1:6" x14ac:dyDescent="0.2">
      <c r="A15" s="15" t="s">
        <v>16</v>
      </c>
      <c r="B15" s="84">
        <v>22479.445091649421</v>
      </c>
      <c r="C15" s="84">
        <v>21886.519994921357</v>
      </c>
      <c r="D15" s="8">
        <v>44.691518840867275</v>
      </c>
      <c r="E15" s="77">
        <v>978.14182071404616</v>
      </c>
      <c r="F15" s="78">
        <v>26.620450160952704</v>
      </c>
    </row>
    <row r="16" spans="1:6" x14ac:dyDescent="0.2">
      <c r="A16" s="15" t="s">
        <v>17</v>
      </c>
      <c r="B16" s="84">
        <v>37813.866249089522</v>
      </c>
      <c r="C16" s="84">
        <v>36816.475512263358</v>
      </c>
      <c r="D16" s="8">
        <v>41.702046997169042</v>
      </c>
      <c r="E16" s="77">
        <v>1535.3223920825296</v>
      </c>
      <c r="F16" s="78">
        <v>41.784301983521928</v>
      </c>
    </row>
    <row r="17" spans="1:6" x14ac:dyDescent="0.2">
      <c r="A17" s="15" t="s">
        <v>18</v>
      </c>
      <c r="B17" s="84">
        <v>25988.045480566401</v>
      </c>
      <c r="C17" s="84">
        <v>25302.576407930697</v>
      </c>
      <c r="D17" s="8">
        <v>33.283381371508106</v>
      </c>
      <c r="E17" s="77">
        <v>842.155300266881</v>
      </c>
      <c r="F17" s="78">
        <v>22.91953244793384</v>
      </c>
    </row>
    <row r="18" spans="1:6" x14ac:dyDescent="0.2">
      <c r="A18" s="15" t="s">
        <v>19</v>
      </c>
      <c r="B18" s="84">
        <v>127271.91901349626</v>
      </c>
      <c r="C18" s="84">
        <v>123914.95381332429</v>
      </c>
      <c r="D18" s="8">
        <v>46.492201445607471</v>
      </c>
      <c r="E18" s="77">
        <v>5761.0789948122183</v>
      </c>
      <c r="F18" s="78">
        <v>156.78965259123171</v>
      </c>
    </row>
    <row r="19" spans="1:6" x14ac:dyDescent="0.2">
      <c r="A19" s="15" t="s">
        <v>20</v>
      </c>
      <c r="B19" s="84">
        <v>20895.454727702425</v>
      </c>
      <c r="C19" s="84">
        <v>20344.309471888162</v>
      </c>
      <c r="D19" s="8">
        <v>45.963119593161778</v>
      </c>
      <c r="E19" s="77">
        <v>935.08792929668959</v>
      </c>
      <c r="F19" s="78">
        <v>25.448724398451166</v>
      </c>
    </row>
    <row r="20" spans="1:6" x14ac:dyDescent="0.2">
      <c r="A20" s="15" t="s">
        <v>21</v>
      </c>
      <c r="B20" s="84">
        <v>88115.90962246542</v>
      </c>
      <c r="C20" s="84">
        <v>85791.735959673824</v>
      </c>
      <c r="D20" s="8">
        <v>49.623222660782751</v>
      </c>
      <c r="E20" s="77">
        <v>4257.2624159819761</v>
      </c>
      <c r="F20" s="78">
        <v>115.86279163896081</v>
      </c>
    </row>
    <row r="21" spans="1:6" x14ac:dyDescent="0.2">
      <c r="A21" s="15" t="s">
        <v>22</v>
      </c>
      <c r="B21" s="84">
        <v>109393.38128342603</v>
      </c>
      <c r="C21" s="84">
        <v>106507.98616293081</v>
      </c>
      <c r="D21" s="8">
        <v>45.495991177731383</v>
      </c>
      <c r="E21" s="77">
        <v>4845.6863988266359</v>
      </c>
      <c r="F21" s="78">
        <v>131.87694314246232</v>
      </c>
    </row>
    <row r="22" spans="1:6" x14ac:dyDescent="0.2">
      <c r="A22" s="15" t="s">
        <v>23</v>
      </c>
      <c r="B22" s="84">
        <v>32154.060239809864</v>
      </c>
      <c r="C22" s="84">
        <v>31305.954372420307</v>
      </c>
      <c r="D22" s="8">
        <v>42.643269079312319</v>
      </c>
      <c r="E22" s="77">
        <v>1334.9882360877932</v>
      </c>
      <c r="F22" s="78">
        <v>36.332142284122391</v>
      </c>
    </row>
    <row r="23" spans="1:6" x14ac:dyDescent="0.2">
      <c r="A23" s="15" t="s">
        <v>24</v>
      </c>
      <c r="B23" s="84">
        <v>89218.384346202947</v>
      </c>
      <c r="C23" s="84">
        <v>86865.131454384682</v>
      </c>
      <c r="D23" s="8">
        <v>44.542869212137404</v>
      </c>
      <c r="E23" s="77">
        <v>3869.22218946778</v>
      </c>
      <c r="F23" s="78">
        <v>105.30214972424831</v>
      </c>
    </row>
    <row r="24" spans="1:6" ht="15.75" x14ac:dyDescent="0.25">
      <c r="A24" s="16" t="s">
        <v>25</v>
      </c>
      <c r="B24" s="85">
        <v>652100.00000000012</v>
      </c>
      <c r="C24" s="85">
        <v>634900</v>
      </c>
      <c r="D24" s="86">
        <v>44.864073082375171</v>
      </c>
      <c r="E24" s="81">
        <v>28484.199999999997</v>
      </c>
      <c r="F24" s="82">
        <v>775.20683649031128</v>
      </c>
    </row>
    <row r="25" spans="1:6" x14ac:dyDescent="0.2">
      <c r="A25" s="15" t="s">
        <v>26</v>
      </c>
      <c r="B25" s="84">
        <v>36521.084551255073</v>
      </c>
      <c r="C25" s="84">
        <v>34123.5814292051</v>
      </c>
      <c r="D25" s="8">
        <v>46.207043452940141</v>
      </c>
      <c r="E25" s="77">
        <v>1576.7498098692213</v>
      </c>
      <c r="F25" s="78">
        <v>42.911762733214168</v>
      </c>
    </row>
    <row r="26" spans="1:6" x14ac:dyDescent="0.2">
      <c r="A26" s="15" t="s">
        <v>27</v>
      </c>
      <c r="B26" s="84">
        <v>0</v>
      </c>
      <c r="C26" s="84">
        <v>0</v>
      </c>
      <c r="D26" s="84">
        <v>0</v>
      </c>
      <c r="E26" s="84">
        <v>0</v>
      </c>
      <c r="F26" s="84">
        <v>0</v>
      </c>
    </row>
    <row r="27" spans="1:6" x14ac:dyDescent="0.2">
      <c r="A27" s="15" t="s">
        <v>28</v>
      </c>
      <c r="B27" s="84">
        <v>25612.382948716491</v>
      </c>
      <c r="C27" s="84">
        <v>23931.004401578655</v>
      </c>
      <c r="D27" s="8">
        <v>36.522517387610122</v>
      </c>
      <c r="E27" s="77">
        <v>874.02052435963094</v>
      </c>
      <c r="F27" s="78">
        <v>23.78675496297711</v>
      </c>
    </row>
    <row r="28" spans="1:6" x14ac:dyDescent="0.2">
      <c r="A28" s="15" t="s">
        <v>29</v>
      </c>
      <c r="B28" s="84">
        <v>27481.273694027728</v>
      </c>
      <c r="C28" s="84">
        <v>25677.207897819684</v>
      </c>
      <c r="D28" s="8">
        <v>38.320575144952954</v>
      </c>
      <c r="E28" s="77">
        <v>983.96537476097865</v>
      </c>
      <c r="F28" s="78">
        <v>26.778940092558749</v>
      </c>
    </row>
    <row r="29" spans="1:6" x14ac:dyDescent="0.2">
      <c r="A29" s="15" t="s">
        <v>30</v>
      </c>
      <c r="B29" s="84">
        <v>0</v>
      </c>
      <c r="C29" s="84">
        <v>0</v>
      </c>
      <c r="D29" s="84">
        <v>0</v>
      </c>
      <c r="E29" s="84">
        <v>0</v>
      </c>
      <c r="F29" s="84">
        <v>0</v>
      </c>
    </row>
    <row r="30" spans="1:6" x14ac:dyDescent="0.2">
      <c r="A30" s="15" t="s">
        <v>31</v>
      </c>
      <c r="B30" s="84">
        <v>35242.827940356903</v>
      </c>
      <c r="C30" s="84">
        <v>32929.238652002321</v>
      </c>
      <c r="D30" s="8">
        <v>35.446317017879949</v>
      </c>
      <c r="E30" s="77">
        <v>1167.2202324163002</v>
      </c>
      <c r="F30" s="78">
        <v>31.766281091233949</v>
      </c>
    </row>
    <row r="31" spans="1:6" x14ac:dyDescent="0.2">
      <c r="A31" s="15" t="s">
        <v>32</v>
      </c>
      <c r="B31" s="84">
        <v>0</v>
      </c>
      <c r="C31" s="84">
        <v>0</v>
      </c>
      <c r="D31" s="84">
        <v>0</v>
      </c>
      <c r="E31" s="84">
        <v>0</v>
      </c>
      <c r="F31" s="84">
        <v>0</v>
      </c>
    </row>
    <row r="32" spans="1:6" x14ac:dyDescent="0.2">
      <c r="A32" s="15" t="s">
        <v>33</v>
      </c>
      <c r="B32" s="84">
        <v>14864.706862823154</v>
      </c>
      <c r="C32" s="84">
        <v>13888.882033142638</v>
      </c>
      <c r="D32" s="8">
        <v>33.461298416362439</v>
      </c>
      <c r="E32" s="77">
        <v>464.74002638064047</v>
      </c>
      <c r="F32" s="78">
        <v>12.64805210049642</v>
      </c>
    </row>
    <row r="33" spans="1:6" x14ac:dyDescent="0.2">
      <c r="A33" s="15" t="s">
        <v>34</v>
      </c>
      <c r="B33" s="84">
        <v>40798.519124688646</v>
      </c>
      <c r="C33" s="84">
        <v>38120.214847082105</v>
      </c>
      <c r="D33" s="8">
        <v>27.582946933226484</v>
      </c>
      <c r="E33" s="77">
        <v>1051.467863210258</v>
      </c>
      <c r="F33" s="78">
        <v>28.61604243441808</v>
      </c>
    </row>
    <row r="34" spans="1:6" x14ac:dyDescent="0.2">
      <c r="A34" s="15" t="s">
        <v>35</v>
      </c>
      <c r="B34" s="84">
        <v>38133.204878132005</v>
      </c>
      <c r="C34" s="84">
        <v>35629.870739169506</v>
      </c>
      <c r="D34" s="8">
        <v>49.234985494192671</v>
      </c>
      <c r="E34" s="77">
        <v>1754.2361690029704</v>
      </c>
      <c r="F34" s="78">
        <v>47.742112154446183</v>
      </c>
    </row>
    <row r="35" spans="1:6" ht="15.75" x14ac:dyDescent="0.25">
      <c r="A35" s="16" t="s">
        <v>36</v>
      </c>
      <c r="B35" s="85">
        <v>218654</v>
      </c>
      <c r="C35" s="85">
        <v>204300</v>
      </c>
      <c r="D35" s="86">
        <v>38.533529123837496</v>
      </c>
      <c r="E35" s="81">
        <v>7872.4</v>
      </c>
      <c r="F35" s="82">
        <v>214.24994556934465</v>
      </c>
    </row>
    <row r="36" spans="1:6" x14ac:dyDescent="0.2">
      <c r="A36" s="15" t="s">
        <v>37</v>
      </c>
      <c r="B36" s="84">
        <v>12445.081585859316</v>
      </c>
      <c r="C36" s="84">
        <v>11904.918136101858</v>
      </c>
      <c r="D36" s="8">
        <v>35.682423783624337</v>
      </c>
      <c r="E36" s="77">
        <v>424.79633404174166</v>
      </c>
      <c r="F36" s="78">
        <v>11.560971425041958</v>
      </c>
    </row>
    <row r="37" spans="1:6" x14ac:dyDescent="0.2">
      <c r="A37" s="15" t="s">
        <v>38</v>
      </c>
      <c r="B37" s="84">
        <v>15960.109584369027</v>
      </c>
      <c r="C37" s="84">
        <v>15267.380670370143</v>
      </c>
      <c r="D37" s="8">
        <v>36.537410775730557</v>
      </c>
      <c r="E37" s="77">
        <v>557.83055902276249</v>
      </c>
      <c r="F37" s="78">
        <v>15.181541449563534</v>
      </c>
    </row>
    <row r="38" spans="1:6" x14ac:dyDescent="0.2">
      <c r="A38" s="15" t="s">
        <v>39</v>
      </c>
      <c r="B38" s="84">
        <v>32147.413960885497</v>
      </c>
      <c r="C38" s="84">
        <v>30752.095022548947</v>
      </c>
      <c r="D38" s="8">
        <v>38.874999313477367</v>
      </c>
      <c r="E38" s="77">
        <v>1195.4876728895813</v>
      </c>
      <c r="F38" s="78">
        <v>32.535588746178462</v>
      </c>
    </row>
    <row r="39" spans="1:6" x14ac:dyDescent="0.2">
      <c r="A39" s="15" t="s">
        <v>40</v>
      </c>
      <c r="B39" s="84">
        <v>24565.59918293657</v>
      </c>
      <c r="C39" s="84">
        <v>23499.359583905629</v>
      </c>
      <c r="D39" s="8">
        <v>30.986532840037363</v>
      </c>
      <c r="E39" s="77">
        <v>728.1636774665385</v>
      </c>
      <c r="F39" s="78">
        <v>19.817213081497346</v>
      </c>
    </row>
    <row r="40" spans="1:6" x14ac:dyDescent="0.2">
      <c r="A40" s="15" t="s">
        <v>41</v>
      </c>
      <c r="B40" s="84">
        <v>67692.363756341598</v>
      </c>
      <c r="C40" s="84">
        <v>64754.260018202272</v>
      </c>
      <c r="D40" s="8">
        <v>39.80621926265249</v>
      </c>
      <c r="E40" s="77">
        <v>2577.6222724753711</v>
      </c>
      <c r="F40" s="78">
        <v>70.150834761467749</v>
      </c>
    </row>
    <row r="41" spans="1:6" x14ac:dyDescent="0.2">
      <c r="A41" s="15" t="s">
        <v>42</v>
      </c>
      <c r="B41" s="84">
        <v>64635.620109992153</v>
      </c>
      <c r="C41" s="84">
        <v>61830.190567810889</v>
      </c>
      <c r="D41" s="8">
        <v>41.512572362201382</v>
      </c>
      <c r="E41" s="77">
        <v>2566.7302601149509</v>
      </c>
      <c r="F41" s="78">
        <v>69.854405076065504</v>
      </c>
    </row>
    <row r="42" spans="1:6" x14ac:dyDescent="0.2">
      <c r="A42" s="15" t="s">
        <v>43</v>
      </c>
      <c r="B42" s="84">
        <v>28954.353439247592</v>
      </c>
      <c r="C42" s="84">
        <v>27697.62536307237</v>
      </c>
      <c r="D42" s="8">
        <v>27.893025865953096</v>
      </c>
      <c r="E42" s="77">
        <v>772.57058067765615</v>
      </c>
      <c r="F42" s="78">
        <v>21.02576150331091</v>
      </c>
    </row>
    <row r="43" spans="1:6" x14ac:dyDescent="0.2">
      <c r="A43" s="15" t="s">
        <v>44</v>
      </c>
      <c r="B43" s="84">
        <v>103799.45838036823</v>
      </c>
      <c r="C43" s="84">
        <v>99294.170637987889</v>
      </c>
      <c r="D43" s="8">
        <v>46.163824259364247</v>
      </c>
      <c r="E43" s="77">
        <v>4583.7986433113983</v>
      </c>
      <c r="F43" s="78">
        <v>124.74958206268774</v>
      </c>
    </row>
    <row r="44" spans="1:6" ht="15.75" x14ac:dyDescent="0.25">
      <c r="A44" s="16" t="s">
        <v>45</v>
      </c>
      <c r="B44" s="85">
        <v>350200</v>
      </c>
      <c r="C44" s="85">
        <v>335000</v>
      </c>
      <c r="D44" s="86">
        <v>40.020895522388059</v>
      </c>
      <c r="E44" s="81">
        <v>13407</v>
      </c>
      <c r="F44" s="82">
        <v>364.87589810581318</v>
      </c>
    </row>
    <row r="45" spans="1:6" x14ac:dyDescent="0.2">
      <c r="A45" s="15" t="s">
        <v>46</v>
      </c>
      <c r="B45" s="84">
        <v>0</v>
      </c>
      <c r="C45" s="84">
        <v>0</v>
      </c>
      <c r="D45" s="84">
        <v>0</v>
      </c>
      <c r="E45" s="84">
        <v>0</v>
      </c>
      <c r="F45" s="84">
        <v>0</v>
      </c>
    </row>
    <row r="46" spans="1:6" x14ac:dyDescent="0.2">
      <c r="A46" s="15" t="s">
        <v>47</v>
      </c>
      <c r="B46" s="84">
        <v>0</v>
      </c>
      <c r="C46" s="84">
        <v>0</v>
      </c>
      <c r="D46" s="84">
        <v>0</v>
      </c>
      <c r="E46" s="84">
        <v>0</v>
      </c>
      <c r="F46" s="84">
        <v>0</v>
      </c>
    </row>
    <row r="47" spans="1:6" x14ac:dyDescent="0.2">
      <c r="A47" s="17" t="s">
        <v>48</v>
      </c>
      <c r="B47" s="84">
        <v>0</v>
      </c>
      <c r="C47" s="84">
        <v>0</v>
      </c>
      <c r="D47" s="84">
        <v>0</v>
      </c>
      <c r="E47" s="84">
        <v>0</v>
      </c>
      <c r="F47" s="84">
        <v>0</v>
      </c>
    </row>
    <row r="48" spans="1:6" x14ac:dyDescent="0.2">
      <c r="A48" s="15" t="s">
        <v>49</v>
      </c>
      <c r="B48" s="84">
        <v>0</v>
      </c>
      <c r="C48" s="84">
        <v>0</v>
      </c>
      <c r="D48" s="84">
        <v>0</v>
      </c>
      <c r="E48" s="84">
        <v>0</v>
      </c>
      <c r="F48" s="84">
        <v>0</v>
      </c>
    </row>
    <row r="49" spans="1:6" x14ac:dyDescent="0.2">
      <c r="A49" s="15" t="s">
        <v>50</v>
      </c>
      <c r="B49" s="84">
        <v>523.486867148839</v>
      </c>
      <c r="C49" s="84">
        <v>508.94556528359345</v>
      </c>
      <c r="D49" s="8">
        <f>+E49*1000/C49</f>
        <v>34.990285271315585</v>
      </c>
      <c r="E49" s="77">
        <v>17.808150516843902</v>
      </c>
      <c r="F49" s="78">
        <v>0.48465465155791154</v>
      </c>
    </row>
    <row r="50" spans="1:6" x14ac:dyDescent="0.2">
      <c r="A50" s="15" t="s">
        <v>51</v>
      </c>
      <c r="B50" s="84">
        <v>1135.3635325466312</v>
      </c>
      <c r="C50" s="84">
        <v>1103.825656642558</v>
      </c>
      <c r="D50" s="8">
        <f>+E50*1000/C50</f>
        <v>31.567996138377698</v>
      </c>
      <c r="E50" s="77">
        <v>34.845564066334497</v>
      </c>
      <c r="F50" s="78">
        <v>0.94833344399995911</v>
      </c>
    </row>
    <row r="51" spans="1:6" x14ac:dyDescent="0.2">
      <c r="A51" s="15" t="s">
        <v>52</v>
      </c>
      <c r="B51" s="84">
        <v>0</v>
      </c>
      <c r="C51" s="84">
        <v>0</v>
      </c>
      <c r="D51" s="84">
        <v>0</v>
      </c>
      <c r="E51" s="84">
        <v>0</v>
      </c>
      <c r="F51" s="84">
        <v>0</v>
      </c>
    </row>
    <row r="52" spans="1:6" x14ac:dyDescent="0.2">
      <c r="A52" s="15" t="s">
        <v>53</v>
      </c>
      <c r="B52" s="84">
        <v>0</v>
      </c>
      <c r="C52" s="84">
        <v>0</v>
      </c>
      <c r="D52" s="84">
        <v>0</v>
      </c>
      <c r="E52" s="84">
        <v>0</v>
      </c>
      <c r="F52" s="84">
        <v>0</v>
      </c>
    </row>
    <row r="53" spans="1:6" x14ac:dyDescent="0.2">
      <c r="A53" s="15" t="s">
        <v>54</v>
      </c>
      <c r="B53" s="84">
        <v>1098.3631518842788</v>
      </c>
      <c r="C53" s="84">
        <v>1067.8530643319377</v>
      </c>
      <c r="D53" s="8">
        <v>36.488928125586952</v>
      </c>
      <c r="E53" s="77">
        <v>38.964813713095857</v>
      </c>
      <c r="F53" s="78">
        <v>1.0604401729015855</v>
      </c>
    </row>
    <row r="54" spans="1:6" x14ac:dyDescent="0.2">
      <c r="A54" s="15" t="s">
        <v>55</v>
      </c>
      <c r="B54" s="84">
        <v>4540.768937952037</v>
      </c>
      <c r="C54" s="84">
        <v>4414.6364674533697</v>
      </c>
      <c r="D54" s="8">
        <v>40.067052634520032</v>
      </c>
      <c r="E54" s="77">
        <v>176.88147170372574</v>
      </c>
      <c r="F54" s="78">
        <v>4.8138872116189235</v>
      </c>
    </row>
    <row r="55" spans="1:6" ht="15.75" x14ac:dyDescent="0.25">
      <c r="A55" s="16" t="s">
        <v>56</v>
      </c>
      <c r="B55" s="85">
        <v>7200</v>
      </c>
      <c r="C55" s="85">
        <v>7000</v>
      </c>
      <c r="D55" s="86">
        <v>38.357142857142854</v>
      </c>
      <c r="E55" s="81">
        <v>268.5</v>
      </c>
      <c r="F55" s="82">
        <v>7.3073154800783806</v>
      </c>
    </row>
    <row r="56" spans="1:6" ht="16.5" thickBot="1" x14ac:dyDescent="0.3">
      <c r="A56" s="18" t="s">
        <v>0</v>
      </c>
      <c r="B56" s="87">
        <v>2649954</v>
      </c>
      <c r="C56" s="87">
        <v>2585000</v>
      </c>
      <c r="D56" s="88">
        <v>46.537717601547392</v>
      </c>
      <c r="E56" s="89">
        <v>120300.00000000001</v>
      </c>
      <c r="F56" s="90">
        <v>3274.0039190071852</v>
      </c>
    </row>
    <row r="57" spans="1:6" ht="15.75" x14ac:dyDescent="0.25">
      <c r="A57" s="5"/>
      <c r="B57" s="6"/>
      <c r="C57" s="6"/>
      <c r="D57" s="73"/>
      <c r="E57" s="56"/>
      <c r="F57" s="83"/>
    </row>
    <row r="58" spans="1:6" x14ac:dyDescent="0.2">
      <c r="A58" s="8"/>
      <c r="B58" s="8"/>
      <c r="C58" s="64"/>
      <c r="D58" s="8"/>
      <c r="E58" s="8"/>
      <c r="F58" s="8"/>
    </row>
    <row r="59" spans="1:6" ht="218.25" customHeight="1" x14ac:dyDescent="0.2">
      <c r="A59" s="23" t="s">
        <v>58</v>
      </c>
      <c r="B59" s="23"/>
      <c r="C59" s="23"/>
      <c r="D59" s="23"/>
      <c r="E59" s="23"/>
      <c r="F59" s="23"/>
    </row>
    <row r="60" spans="1:6" ht="15.75" x14ac:dyDescent="0.25">
      <c r="A60" s="10" t="s">
        <v>76</v>
      </c>
      <c r="B60" s="3"/>
      <c r="C60" s="3"/>
      <c r="D60" s="4"/>
      <c r="E60" s="3"/>
      <c r="F60" s="68"/>
    </row>
    <row r="61" spans="1:6" x14ac:dyDescent="0.2">
      <c r="A61" s="1" t="s">
        <v>82</v>
      </c>
      <c r="B61" s="3"/>
      <c r="C61" s="3"/>
      <c r="D61" s="4"/>
      <c r="E61" s="3"/>
      <c r="F61" s="68"/>
    </row>
    <row r="62" spans="1:6" x14ac:dyDescent="0.2">
      <c r="A62" s="2"/>
      <c r="B62" s="3"/>
      <c r="C62" s="3"/>
      <c r="D62" s="4"/>
      <c r="E62" s="3"/>
      <c r="F62" s="68"/>
    </row>
    <row r="63" spans="1:6" x14ac:dyDescent="0.2">
      <c r="A63" s="2"/>
      <c r="B63" s="3"/>
      <c r="C63" s="3"/>
      <c r="D63" s="4"/>
      <c r="E63" s="3"/>
      <c r="F63" s="68"/>
    </row>
    <row r="64" spans="1:6" x14ac:dyDescent="0.2">
      <c r="A64" s="2"/>
      <c r="B64" s="3"/>
      <c r="C64" s="3"/>
      <c r="D64" s="4"/>
      <c r="E64" s="3"/>
      <c r="F64" s="68"/>
    </row>
    <row r="65" spans="1:6" x14ac:dyDescent="0.2">
      <c r="A65" s="2"/>
      <c r="B65" s="3"/>
      <c r="C65" s="3"/>
      <c r="D65" s="4"/>
      <c r="E65" s="3"/>
      <c r="F65" s="68"/>
    </row>
    <row r="66" spans="1:6" x14ac:dyDescent="0.2">
      <c r="A66" s="2"/>
      <c r="B66" s="3"/>
      <c r="C66" s="3"/>
      <c r="D66" s="4"/>
      <c r="E66" s="3"/>
      <c r="F66" s="68"/>
    </row>
    <row r="67" spans="1:6" x14ac:dyDescent="0.2">
      <c r="A67" s="2"/>
      <c r="B67" s="3"/>
      <c r="C67" s="3"/>
      <c r="D67" s="4"/>
      <c r="E67" s="3"/>
      <c r="F67" s="68"/>
    </row>
    <row r="68" spans="1:6" x14ac:dyDescent="0.2">
      <c r="A68" s="2"/>
      <c r="B68" s="3"/>
      <c r="C68" s="3"/>
      <c r="D68" s="4"/>
      <c r="E68" s="3"/>
      <c r="F68" s="68"/>
    </row>
    <row r="69" spans="1:6" x14ac:dyDescent="0.2">
      <c r="A69" s="2"/>
      <c r="B69" s="3"/>
      <c r="C69" s="3"/>
      <c r="D69" s="4"/>
      <c r="E69" s="3"/>
      <c r="F69" s="68"/>
    </row>
    <row r="70" spans="1:6" x14ac:dyDescent="0.2">
      <c r="A70" s="2"/>
      <c r="B70" s="3"/>
      <c r="C70" s="3"/>
      <c r="D70" s="4"/>
      <c r="E70" s="3"/>
      <c r="F70" s="68"/>
    </row>
    <row r="71" spans="1:6" x14ac:dyDescent="0.2">
      <c r="A71" s="2"/>
      <c r="B71" s="3"/>
      <c r="C71" s="3"/>
      <c r="D71" s="4"/>
      <c r="E71" s="3"/>
      <c r="F71" s="68"/>
    </row>
    <row r="72" spans="1:6" x14ac:dyDescent="0.2">
      <c r="A72" s="2"/>
      <c r="B72" s="3"/>
      <c r="C72" s="3"/>
      <c r="D72" s="4"/>
      <c r="E72" s="3"/>
      <c r="F72" s="68"/>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row>
    <row r="84" spans="1:6" x14ac:dyDescent="0.2">
      <c r="A84" s="2"/>
    </row>
    <row r="85" spans="1:6" x14ac:dyDescent="0.2">
      <c r="A85" s="2"/>
    </row>
    <row r="86" spans="1:6" x14ac:dyDescent="0.2">
      <c r="A86" s="2"/>
    </row>
    <row r="87" spans="1:6" x14ac:dyDescent="0.2">
      <c r="A87" s="2"/>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72C40-29D7-4F99-88D5-137254198EEB}">
  <dimension ref="A1:F87"/>
  <sheetViews>
    <sheetView workbookViewId="0"/>
  </sheetViews>
  <sheetFormatPr defaultRowHeight="15" x14ac:dyDescent="0.2"/>
  <cols>
    <col min="1" max="1" width="34.5546875" style="1" customWidth="1"/>
    <col min="2" max="2" width="13.77734375" style="1" customWidth="1"/>
    <col min="3" max="3" width="13.109375" style="1" customWidth="1"/>
    <col min="4" max="4" width="15.33203125" style="1" customWidth="1"/>
    <col min="5" max="5" width="14.6640625" style="1" customWidth="1"/>
    <col min="6" max="6" width="14.33203125" style="1" customWidth="1"/>
  </cols>
  <sheetData>
    <row r="1" spans="1:6" ht="16.5" thickBot="1" x14ac:dyDescent="0.3">
      <c r="A1" s="137" t="s">
        <v>83</v>
      </c>
      <c r="B1" s="138"/>
      <c r="C1" s="138"/>
      <c r="D1" s="138"/>
      <c r="E1" s="138"/>
      <c r="F1" s="138"/>
    </row>
    <row r="2" spans="1:6" ht="30.75" thickBot="1" x14ac:dyDescent="0.3">
      <c r="A2" s="91"/>
      <c r="B2" s="92" t="s">
        <v>84</v>
      </c>
      <c r="C2" s="92" t="s">
        <v>57</v>
      </c>
      <c r="D2" s="93" t="s">
        <v>3</v>
      </c>
      <c r="E2" s="94" t="s">
        <v>1</v>
      </c>
      <c r="F2" s="94" t="s">
        <v>2</v>
      </c>
    </row>
    <row r="3" spans="1:6" x14ac:dyDescent="0.2">
      <c r="A3" s="1" t="s">
        <v>4</v>
      </c>
      <c r="B3" s="95">
        <v>44159</v>
      </c>
      <c r="C3" s="64">
        <v>27355</v>
      </c>
      <c r="D3" s="96">
        <v>46</v>
      </c>
      <c r="E3" s="72">
        <v>1258.33</v>
      </c>
      <c r="F3" s="97">
        <f>E3/36.744</f>
        <v>34.245863270193773</v>
      </c>
    </row>
    <row r="4" spans="1:6" x14ac:dyDescent="0.2">
      <c r="A4" s="1" t="s">
        <v>5</v>
      </c>
      <c r="B4" s="95">
        <v>207404</v>
      </c>
      <c r="C4" s="64">
        <v>207404</v>
      </c>
      <c r="D4" s="96">
        <v>49</v>
      </c>
      <c r="E4" s="72">
        <v>10162.796</v>
      </c>
      <c r="F4" s="97">
        <f t="shared" ref="F4:F43" si="0">E4/36.744</f>
        <v>276.58382320923147</v>
      </c>
    </row>
    <row r="5" spans="1:6" x14ac:dyDescent="0.2">
      <c r="A5" s="1" t="s">
        <v>6</v>
      </c>
      <c r="B5" s="95">
        <v>100176</v>
      </c>
      <c r="C5" s="64">
        <v>100176</v>
      </c>
      <c r="D5" s="96">
        <v>47.862222170569062</v>
      </c>
      <c r="E5" s="72">
        <v>4794.6459681589267</v>
      </c>
      <c r="F5" s="97">
        <f t="shared" si="0"/>
        <v>130.48786109729281</v>
      </c>
    </row>
    <row r="6" spans="1:6" x14ac:dyDescent="0.2">
      <c r="A6" s="1" t="s">
        <v>7</v>
      </c>
      <c r="B6" s="95">
        <v>160530</v>
      </c>
      <c r="C6" s="64">
        <v>160530</v>
      </c>
      <c r="D6" s="96">
        <v>47</v>
      </c>
      <c r="E6" s="72">
        <v>7544.91</v>
      </c>
      <c r="F6" s="97">
        <f t="shared" si="0"/>
        <v>205.33719790986282</v>
      </c>
    </row>
    <row r="7" spans="1:6" x14ac:dyDescent="0.2">
      <c r="A7" s="1" t="s">
        <v>8</v>
      </c>
      <c r="B7" s="95">
        <v>152870</v>
      </c>
      <c r="C7" s="64">
        <v>152870</v>
      </c>
      <c r="D7" s="96">
        <v>42.6</v>
      </c>
      <c r="E7" s="72">
        <v>6512.2619999999997</v>
      </c>
      <c r="F7" s="97">
        <f t="shared" si="0"/>
        <v>177.23334421946439</v>
      </c>
    </row>
    <row r="8" spans="1:6" x14ac:dyDescent="0.2">
      <c r="A8" s="1" t="s">
        <v>9</v>
      </c>
      <c r="B8" s="95">
        <v>31828</v>
      </c>
      <c r="C8" s="64">
        <v>31828</v>
      </c>
      <c r="D8" s="96">
        <v>42</v>
      </c>
      <c r="E8" s="72">
        <v>1336.7760000000001</v>
      </c>
      <c r="F8" s="97">
        <f t="shared" si="0"/>
        <v>36.380796864794256</v>
      </c>
    </row>
    <row r="9" spans="1:6" x14ac:dyDescent="0.2">
      <c r="A9" s="1" t="s">
        <v>10</v>
      </c>
      <c r="B9" s="95">
        <v>236154</v>
      </c>
      <c r="C9" s="64">
        <v>236154</v>
      </c>
      <c r="D9" s="96">
        <v>46</v>
      </c>
      <c r="E9" s="72">
        <v>10863.084000000001</v>
      </c>
      <c r="F9" s="97">
        <f t="shared" si="0"/>
        <v>295.64239059438279</v>
      </c>
    </row>
    <row r="10" spans="1:6" x14ac:dyDescent="0.2">
      <c r="A10" s="1" t="s">
        <v>11</v>
      </c>
      <c r="B10" s="95">
        <v>164463</v>
      </c>
      <c r="C10" s="64">
        <v>164463</v>
      </c>
      <c r="D10" s="96">
        <v>49.435951630997984</v>
      </c>
      <c r="E10" s="72">
        <v>8130.384913088822</v>
      </c>
      <c r="F10" s="97">
        <f t="shared" si="0"/>
        <v>221.27108951363005</v>
      </c>
    </row>
    <row r="11" spans="1:6" x14ac:dyDescent="0.2">
      <c r="A11" s="1" t="s">
        <v>12</v>
      </c>
      <c r="B11" s="95">
        <v>76938</v>
      </c>
      <c r="C11" s="64">
        <v>76938</v>
      </c>
      <c r="D11" s="96">
        <v>43.639112012269621</v>
      </c>
      <c r="E11" s="72">
        <v>3357.5059999999999</v>
      </c>
      <c r="F11" s="97">
        <f t="shared" si="0"/>
        <v>91.375625952536467</v>
      </c>
    </row>
    <row r="12" spans="1:6" x14ac:dyDescent="0.2">
      <c r="A12" s="1" t="s">
        <v>13</v>
      </c>
      <c r="B12" s="95">
        <v>78480</v>
      </c>
      <c r="C12" s="64">
        <v>78480</v>
      </c>
      <c r="D12" s="96">
        <v>51.8</v>
      </c>
      <c r="E12" s="72">
        <v>4065.2640000000001</v>
      </c>
      <c r="F12" s="97">
        <f t="shared" si="0"/>
        <v>110.6374918354017</v>
      </c>
    </row>
    <row r="13" spans="1:6" ht="15.75" x14ac:dyDescent="0.25">
      <c r="A13" s="10" t="s">
        <v>14</v>
      </c>
      <c r="B13" s="98">
        <v>1253002</v>
      </c>
      <c r="C13" s="6">
        <v>1236197.5045159739</v>
      </c>
      <c r="D13" s="73">
        <v>46.939068268100641</v>
      </c>
      <c r="E13" s="56">
        <v>58025.959057330954</v>
      </c>
      <c r="F13" s="83">
        <f>E13/36.744</f>
        <v>1579.1954892589526</v>
      </c>
    </row>
    <row r="14" spans="1:6" x14ac:dyDescent="0.2">
      <c r="A14" s="1" t="s">
        <v>15</v>
      </c>
      <c r="B14" s="95">
        <v>95924</v>
      </c>
      <c r="C14" s="64">
        <v>95924</v>
      </c>
      <c r="D14" s="96">
        <v>41.6</v>
      </c>
      <c r="E14" s="72">
        <v>3990.4384</v>
      </c>
      <c r="F14" s="97">
        <f t="shared" si="0"/>
        <v>108.6010886131069</v>
      </c>
    </row>
    <row r="15" spans="1:6" x14ac:dyDescent="0.2">
      <c r="A15" s="1" t="s">
        <v>16</v>
      </c>
      <c r="B15" s="95">
        <v>16048</v>
      </c>
      <c r="C15" s="64">
        <v>16953.834049011733</v>
      </c>
      <c r="D15" s="96">
        <v>40.200000000000003</v>
      </c>
      <c r="E15" s="72">
        <v>681.54412877027175</v>
      </c>
      <c r="F15" s="97">
        <f t="shared" si="0"/>
        <v>18.548446787782272</v>
      </c>
    </row>
    <row r="16" spans="1:6" x14ac:dyDescent="0.2">
      <c r="A16" s="1" t="s">
        <v>17</v>
      </c>
      <c r="B16" s="95">
        <v>31317</v>
      </c>
      <c r="C16" s="64">
        <v>28007.231957998003</v>
      </c>
      <c r="D16" s="96">
        <v>40.080613876335541</v>
      </c>
      <c r="E16" s="72">
        <v>1122.547049853483</v>
      </c>
      <c r="F16" s="97">
        <f t="shared" si="0"/>
        <v>30.550485789611447</v>
      </c>
    </row>
    <row r="17" spans="1:6" x14ac:dyDescent="0.2">
      <c r="A17" s="1" t="s">
        <v>18</v>
      </c>
      <c r="B17" s="95">
        <v>19594</v>
      </c>
      <c r="C17" s="64">
        <v>19594</v>
      </c>
      <c r="D17" s="96">
        <v>40.1</v>
      </c>
      <c r="E17" s="72">
        <v>785.71940000000006</v>
      </c>
      <c r="F17" s="97">
        <f t="shared" si="0"/>
        <v>21.383610929675594</v>
      </c>
    </row>
    <row r="18" spans="1:6" x14ac:dyDescent="0.2">
      <c r="A18" s="1" t="s">
        <v>19</v>
      </c>
      <c r="B18" s="95">
        <v>170504</v>
      </c>
      <c r="C18" s="64">
        <v>165979</v>
      </c>
      <c r="D18" s="96">
        <v>47</v>
      </c>
      <c r="E18" s="72">
        <v>7801.0129999999999</v>
      </c>
      <c r="F18" s="97">
        <f t="shared" si="0"/>
        <v>212.30712497278466</v>
      </c>
    </row>
    <row r="19" spans="1:6" x14ac:dyDescent="0.2">
      <c r="A19" s="1" t="s">
        <v>20</v>
      </c>
      <c r="B19" s="95">
        <v>22676</v>
      </c>
      <c r="C19" s="64">
        <v>22676</v>
      </c>
      <c r="D19" s="96">
        <v>42.3</v>
      </c>
      <c r="E19" s="72">
        <v>959.1948000000001</v>
      </c>
      <c r="F19" s="97">
        <f t="shared" si="0"/>
        <v>26.104800783801441</v>
      </c>
    </row>
    <row r="20" spans="1:6" x14ac:dyDescent="0.2">
      <c r="A20" s="1" t="s">
        <v>21</v>
      </c>
      <c r="B20" s="95">
        <v>106537</v>
      </c>
      <c r="C20" s="64">
        <v>106537</v>
      </c>
      <c r="D20" s="96">
        <v>46.751666557158543</v>
      </c>
      <c r="E20" s="72">
        <v>4980.7822999999999</v>
      </c>
      <c r="F20" s="97">
        <f t="shared" si="0"/>
        <v>135.55362236011322</v>
      </c>
    </row>
    <row r="21" spans="1:6" x14ac:dyDescent="0.2">
      <c r="A21" s="1" t="s">
        <v>22</v>
      </c>
      <c r="B21" s="95">
        <v>91546</v>
      </c>
      <c r="C21" s="64">
        <v>91546</v>
      </c>
      <c r="D21" s="96">
        <v>41.2</v>
      </c>
      <c r="E21" s="72">
        <v>3771.6952000000001</v>
      </c>
      <c r="F21" s="97">
        <f t="shared" si="0"/>
        <v>102.64792074896582</v>
      </c>
    </row>
    <row r="22" spans="1:6" x14ac:dyDescent="0.2">
      <c r="A22" s="1" t="s">
        <v>23</v>
      </c>
      <c r="B22" s="95">
        <v>30749</v>
      </c>
      <c r="C22" s="64">
        <v>27871</v>
      </c>
      <c r="D22" s="96">
        <v>43.129538918551042</v>
      </c>
      <c r="E22" s="72">
        <v>1202.063379198936</v>
      </c>
      <c r="F22" s="97">
        <f t="shared" si="0"/>
        <v>32.714548748065972</v>
      </c>
    </row>
    <row r="23" spans="1:6" x14ac:dyDescent="0.2">
      <c r="A23" s="1" t="s">
        <v>24</v>
      </c>
      <c r="B23" s="95">
        <v>92119</v>
      </c>
      <c r="C23" s="64">
        <v>92119</v>
      </c>
      <c r="D23" s="96">
        <v>42.784505397281535</v>
      </c>
      <c r="E23" s="72">
        <v>3941.2658526921773</v>
      </c>
      <c r="F23" s="97">
        <f t="shared" si="0"/>
        <v>107.26284162563078</v>
      </c>
    </row>
    <row r="24" spans="1:6" ht="15.75" x14ac:dyDescent="0.25">
      <c r="A24" s="10" t="s">
        <v>25</v>
      </c>
      <c r="B24" s="98">
        <v>677014</v>
      </c>
      <c r="C24" s="6">
        <v>667207.20571160712</v>
      </c>
      <c r="D24" s="73">
        <v>43.81886659043694</v>
      </c>
      <c r="E24" s="56">
        <v>29236.263535255126</v>
      </c>
      <c r="F24" s="83">
        <f>E24/36.744</f>
        <v>795.6744920328523</v>
      </c>
    </row>
    <row r="25" spans="1:6" x14ac:dyDescent="0.2">
      <c r="A25" s="1" t="s">
        <v>26</v>
      </c>
      <c r="B25" s="95">
        <v>44171</v>
      </c>
      <c r="C25" s="64">
        <v>44171</v>
      </c>
      <c r="D25" s="96">
        <v>46.1</v>
      </c>
      <c r="E25" s="72">
        <v>2036.2831000000001</v>
      </c>
      <c r="F25" s="97">
        <f t="shared" si="0"/>
        <v>55.418111800566081</v>
      </c>
    </row>
    <row r="26" spans="1:6" x14ac:dyDescent="0.2">
      <c r="A26" s="1" t="s">
        <v>27</v>
      </c>
      <c r="B26" s="95" t="s">
        <v>85</v>
      </c>
      <c r="C26" s="99" t="s">
        <v>65</v>
      </c>
      <c r="D26" s="99" t="s">
        <v>65</v>
      </c>
      <c r="E26" s="99" t="s">
        <v>65</v>
      </c>
      <c r="F26" s="58" t="s">
        <v>65</v>
      </c>
    </row>
    <row r="27" spans="1:6" x14ac:dyDescent="0.2">
      <c r="A27" s="1" t="s">
        <v>28</v>
      </c>
      <c r="B27" s="95">
        <v>20583</v>
      </c>
      <c r="C27" s="64">
        <v>20517.707344067279</v>
      </c>
      <c r="D27" s="96">
        <v>43.595561664091633</v>
      </c>
      <c r="E27" s="72">
        <v>894.48097572407084</v>
      </c>
      <c r="F27" s="97">
        <f t="shared" si="0"/>
        <v>24.343592851188518</v>
      </c>
    </row>
    <row r="28" spans="1:6" x14ac:dyDescent="0.2">
      <c r="A28" s="1" t="s">
        <v>29</v>
      </c>
      <c r="B28" s="95">
        <v>29256</v>
      </c>
      <c r="C28" s="64">
        <v>29256</v>
      </c>
      <c r="D28" s="96">
        <v>45.3</v>
      </c>
      <c r="E28" s="72">
        <v>1325.2968000000001</v>
      </c>
      <c r="F28" s="97">
        <f t="shared" si="0"/>
        <v>36.068386675375571</v>
      </c>
    </row>
    <row r="29" spans="1:6" x14ac:dyDescent="0.2">
      <c r="A29" s="1" t="s">
        <v>30</v>
      </c>
      <c r="B29" s="95">
        <v>0</v>
      </c>
      <c r="C29" s="99" t="s">
        <v>65</v>
      </c>
      <c r="D29" s="99" t="s">
        <v>65</v>
      </c>
      <c r="E29" s="99" t="s">
        <v>65</v>
      </c>
      <c r="F29" s="58" t="s">
        <v>65</v>
      </c>
    </row>
    <row r="30" spans="1:6" x14ac:dyDescent="0.2">
      <c r="A30" s="1" t="s">
        <v>31</v>
      </c>
      <c r="B30" s="95">
        <v>38999</v>
      </c>
      <c r="C30" s="64">
        <v>25076.858566673687</v>
      </c>
      <c r="D30" s="96">
        <v>44.6</v>
      </c>
      <c r="E30" s="72">
        <v>1118.4278920736465</v>
      </c>
      <c r="F30" s="97">
        <f t="shared" si="0"/>
        <v>30.438381560898282</v>
      </c>
    </row>
    <row r="31" spans="1:6" x14ac:dyDescent="0.2">
      <c r="A31" s="1" t="s">
        <v>32</v>
      </c>
      <c r="B31" s="95" t="s">
        <v>85</v>
      </c>
      <c r="C31" s="99" t="s">
        <v>65</v>
      </c>
      <c r="D31" s="99" t="s">
        <v>65</v>
      </c>
      <c r="E31" s="99" t="s">
        <v>65</v>
      </c>
      <c r="F31" s="58" t="s">
        <v>65</v>
      </c>
    </row>
    <row r="32" spans="1:6" x14ac:dyDescent="0.2">
      <c r="A32" s="1" t="s">
        <v>33</v>
      </c>
      <c r="B32" s="95">
        <v>16480</v>
      </c>
      <c r="C32" s="64">
        <v>14933.535964915964</v>
      </c>
      <c r="D32" s="96">
        <v>41</v>
      </c>
      <c r="E32" s="72">
        <v>612.27497456155447</v>
      </c>
      <c r="F32" s="97">
        <f t="shared" si="0"/>
        <v>16.663264058391967</v>
      </c>
    </row>
    <row r="33" spans="1:6" x14ac:dyDescent="0.2">
      <c r="A33" s="1" t="s">
        <v>34</v>
      </c>
      <c r="B33" s="95">
        <v>19595</v>
      </c>
      <c r="C33" s="64">
        <v>19595</v>
      </c>
      <c r="D33" s="96">
        <v>34</v>
      </c>
      <c r="E33" s="72">
        <v>666.23</v>
      </c>
      <c r="F33" s="97">
        <f t="shared" si="0"/>
        <v>18.131667755279775</v>
      </c>
    </row>
    <row r="34" spans="1:6" x14ac:dyDescent="0.2">
      <c r="A34" s="1" t="s">
        <v>35</v>
      </c>
      <c r="B34" s="95">
        <v>24468</v>
      </c>
      <c r="C34" s="64">
        <v>24468</v>
      </c>
      <c r="D34" s="96">
        <v>40.236565620172293</v>
      </c>
      <c r="E34" s="72">
        <v>984.5082875943757</v>
      </c>
      <c r="F34" s="97">
        <f t="shared" si="0"/>
        <v>26.793715643217279</v>
      </c>
    </row>
    <row r="35" spans="1:6" ht="15.75" x14ac:dyDescent="0.25">
      <c r="A35" s="10" t="s">
        <v>36</v>
      </c>
      <c r="B35" s="95">
        <v>194216</v>
      </c>
      <c r="C35" s="6">
        <v>189794.64582825307</v>
      </c>
      <c r="D35" s="73">
        <v>42.481109066250688</v>
      </c>
      <c r="E35" s="72">
        <v>8062.6870496204401</v>
      </c>
      <c r="F35" s="83">
        <f>E35/36.744</f>
        <v>219.42866997660678</v>
      </c>
    </row>
    <row r="36" spans="1:6" x14ac:dyDescent="0.2">
      <c r="A36" s="1" t="s">
        <v>37</v>
      </c>
      <c r="B36" s="95">
        <v>8363</v>
      </c>
      <c r="C36" s="64">
        <v>8363</v>
      </c>
      <c r="D36" s="96">
        <v>39.757914002376069</v>
      </c>
      <c r="E36" s="72">
        <v>332.49543480187106</v>
      </c>
      <c r="F36" s="97">
        <f t="shared" si="0"/>
        <v>9.0489722077583021</v>
      </c>
    </row>
    <row r="37" spans="1:6" x14ac:dyDescent="0.2">
      <c r="A37" s="1" t="s">
        <v>38</v>
      </c>
      <c r="B37" s="95">
        <v>13808</v>
      </c>
      <c r="C37" s="64">
        <v>10081</v>
      </c>
      <c r="D37" s="96">
        <v>43.9</v>
      </c>
      <c r="E37" s="72">
        <v>442.55590000000001</v>
      </c>
      <c r="F37" s="97">
        <f t="shared" si="0"/>
        <v>12.044303831918137</v>
      </c>
    </row>
    <row r="38" spans="1:6" x14ac:dyDescent="0.2">
      <c r="A38" s="1" t="s">
        <v>39</v>
      </c>
      <c r="B38" s="95">
        <v>25595</v>
      </c>
      <c r="C38" s="64">
        <v>25595</v>
      </c>
      <c r="D38" s="96">
        <v>44.5</v>
      </c>
      <c r="E38" s="72">
        <v>1138.9775</v>
      </c>
      <c r="F38" s="97">
        <f t="shared" si="0"/>
        <v>30.997645874156323</v>
      </c>
    </row>
    <row r="39" spans="1:6" x14ac:dyDescent="0.2">
      <c r="A39" s="1" t="s">
        <v>40</v>
      </c>
      <c r="B39" s="95">
        <v>13941</v>
      </c>
      <c r="C39" s="64">
        <v>13941</v>
      </c>
      <c r="D39" s="96">
        <v>40.299999999999997</v>
      </c>
      <c r="E39" s="72">
        <v>561.82230000000004</v>
      </c>
      <c r="F39" s="97">
        <f t="shared" si="0"/>
        <v>15.290177988242979</v>
      </c>
    </row>
    <row r="40" spans="1:6" x14ac:dyDescent="0.2">
      <c r="A40" s="1" t="s">
        <v>41</v>
      </c>
      <c r="B40" s="95">
        <v>57224</v>
      </c>
      <c r="C40" s="64">
        <v>57224</v>
      </c>
      <c r="D40" s="96">
        <v>41.5</v>
      </c>
      <c r="E40" s="72">
        <v>2379.0659999999998</v>
      </c>
      <c r="F40" s="97">
        <f t="shared" si="0"/>
        <v>64.74706074461136</v>
      </c>
    </row>
    <row r="41" spans="1:6" x14ac:dyDescent="0.2">
      <c r="A41" s="1" t="s">
        <v>42</v>
      </c>
      <c r="B41" s="95">
        <v>81778</v>
      </c>
      <c r="C41" s="64">
        <v>81778</v>
      </c>
      <c r="D41" s="96">
        <v>39</v>
      </c>
      <c r="E41" s="72">
        <v>3189.3420000000001</v>
      </c>
      <c r="F41" s="97">
        <f t="shared" si="0"/>
        <v>86.798987589810579</v>
      </c>
    </row>
    <row r="42" spans="1:6" x14ac:dyDescent="0.2">
      <c r="A42" s="1" t="s">
        <v>43</v>
      </c>
      <c r="B42" s="95">
        <v>21638</v>
      </c>
      <c r="C42" s="64">
        <v>21638</v>
      </c>
      <c r="D42" s="96">
        <v>32.428328117069846</v>
      </c>
      <c r="E42" s="72">
        <v>701.68416379715734</v>
      </c>
      <c r="F42" s="97">
        <f t="shared" si="0"/>
        <v>19.096564440375499</v>
      </c>
    </row>
    <row r="43" spans="1:6" x14ac:dyDescent="0.2">
      <c r="A43" s="1" t="s">
        <v>44</v>
      </c>
      <c r="B43" s="95">
        <v>108291</v>
      </c>
      <c r="C43" s="64">
        <v>108291</v>
      </c>
      <c r="D43" s="96">
        <v>41.9</v>
      </c>
      <c r="E43" s="72">
        <v>4537.3929000000007</v>
      </c>
      <c r="F43" s="97">
        <f t="shared" si="0"/>
        <v>123.48663455258003</v>
      </c>
    </row>
    <row r="44" spans="1:6" ht="15.75" x14ac:dyDescent="0.25">
      <c r="A44" s="10" t="s">
        <v>45</v>
      </c>
      <c r="B44" s="98">
        <v>330638</v>
      </c>
      <c r="C44" s="6">
        <v>326911.47242672183</v>
      </c>
      <c r="D44" s="73">
        <v>40.63282602070332</v>
      </c>
      <c r="E44" s="56">
        <v>13283.336983286939</v>
      </c>
      <c r="F44" s="83">
        <f>E44/36.744</f>
        <v>361.5103685849918</v>
      </c>
    </row>
    <row r="45" spans="1:6" x14ac:dyDescent="0.2">
      <c r="A45" s="1" t="s">
        <v>46</v>
      </c>
      <c r="B45" s="95" t="s">
        <v>85</v>
      </c>
      <c r="C45" s="99" t="s">
        <v>65</v>
      </c>
      <c r="D45" s="99" t="s">
        <v>65</v>
      </c>
      <c r="E45" s="99" t="s">
        <v>65</v>
      </c>
      <c r="F45" s="58" t="s">
        <v>65</v>
      </c>
    </row>
    <row r="46" spans="1:6" x14ac:dyDescent="0.2">
      <c r="A46" s="1" t="s">
        <v>47</v>
      </c>
      <c r="B46" s="95">
        <v>332</v>
      </c>
      <c r="C46" s="99" t="s">
        <v>65</v>
      </c>
      <c r="D46" s="99" t="s">
        <v>65</v>
      </c>
      <c r="E46" s="99" t="s">
        <v>65</v>
      </c>
      <c r="F46" s="58" t="s">
        <v>65</v>
      </c>
    </row>
    <row r="47" spans="1:6" x14ac:dyDescent="0.2">
      <c r="A47" s="100" t="s">
        <v>48</v>
      </c>
      <c r="B47" s="95" t="s">
        <v>85</v>
      </c>
      <c r="C47" s="99" t="s">
        <v>65</v>
      </c>
      <c r="D47" s="99" t="s">
        <v>65</v>
      </c>
      <c r="E47" s="99" t="s">
        <v>65</v>
      </c>
      <c r="F47" s="58" t="s">
        <v>65</v>
      </c>
    </row>
    <row r="48" spans="1:6" x14ac:dyDescent="0.2">
      <c r="A48" s="1" t="s">
        <v>49</v>
      </c>
      <c r="B48" s="95" t="s">
        <v>85</v>
      </c>
      <c r="C48" s="99" t="s">
        <v>65</v>
      </c>
      <c r="D48" s="99" t="s">
        <v>65</v>
      </c>
      <c r="E48" s="99" t="s">
        <v>65</v>
      </c>
      <c r="F48" s="58" t="s">
        <v>65</v>
      </c>
    </row>
    <row r="49" spans="1:6" x14ac:dyDescent="0.2">
      <c r="A49" s="1" t="s">
        <v>50</v>
      </c>
      <c r="B49" s="95">
        <v>1093</v>
      </c>
      <c r="C49" s="99" t="s">
        <v>65</v>
      </c>
      <c r="D49" s="99" t="s">
        <v>65</v>
      </c>
      <c r="E49" s="99" t="s">
        <v>65</v>
      </c>
      <c r="F49" s="58" t="s">
        <v>65</v>
      </c>
    </row>
    <row r="50" spans="1:6" x14ac:dyDescent="0.2">
      <c r="A50" s="1" t="s">
        <v>51</v>
      </c>
      <c r="B50" s="95">
        <v>1968</v>
      </c>
      <c r="C50" s="64">
        <v>1968</v>
      </c>
      <c r="D50" s="96">
        <v>34.945333948607406</v>
      </c>
      <c r="E50" s="72">
        <v>68.772417210859373</v>
      </c>
      <c r="F50" s="58" t="s">
        <v>65</v>
      </c>
    </row>
    <row r="51" spans="1:6" x14ac:dyDescent="0.2">
      <c r="A51" s="1" t="s">
        <v>52</v>
      </c>
      <c r="B51" s="95">
        <v>211</v>
      </c>
      <c r="C51" s="99" t="s">
        <v>65</v>
      </c>
      <c r="D51" s="99" t="s">
        <v>65</v>
      </c>
      <c r="E51" s="99" t="s">
        <v>65</v>
      </c>
      <c r="F51" s="58" t="s">
        <v>65</v>
      </c>
    </row>
    <row r="52" spans="1:6" x14ac:dyDescent="0.2">
      <c r="A52" s="1" t="s">
        <v>53</v>
      </c>
      <c r="B52" s="95">
        <v>483</v>
      </c>
      <c r="C52" s="99" t="s">
        <v>65</v>
      </c>
      <c r="D52" s="99" t="s">
        <v>65</v>
      </c>
      <c r="E52" s="99" t="s">
        <v>65</v>
      </c>
      <c r="F52" s="58" t="s">
        <v>65</v>
      </c>
    </row>
    <row r="53" spans="1:6" x14ac:dyDescent="0.2">
      <c r="A53" s="1" t="s">
        <v>54</v>
      </c>
      <c r="B53" s="95">
        <v>680</v>
      </c>
      <c r="C53" s="64">
        <v>208.88938251949651</v>
      </c>
      <c r="D53" s="96">
        <v>26.134087066120312</v>
      </c>
      <c r="E53" s="72">
        <v>5.459133309952632</v>
      </c>
      <c r="F53" s="58" t="s">
        <v>65</v>
      </c>
    </row>
    <row r="54" spans="1:6" x14ac:dyDescent="0.2">
      <c r="A54" s="1" t="s">
        <v>55</v>
      </c>
      <c r="B54" s="95">
        <v>4827</v>
      </c>
      <c r="C54" s="64">
        <v>4827</v>
      </c>
      <c r="D54" s="96">
        <v>44.170145497421551</v>
      </c>
      <c r="E54" s="72">
        <v>213.20929231605382</v>
      </c>
      <c r="F54" s="58" t="s">
        <v>65</v>
      </c>
    </row>
    <row r="55" spans="1:6" ht="15.75" x14ac:dyDescent="0.25">
      <c r="A55" s="10" t="s">
        <v>56</v>
      </c>
      <c r="B55" s="98">
        <v>10000</v>
      </c>
      <c r="C55" s="6">
        <v>9889.1715174438305</v>
      </c>
      <c r="D55" s="73">
        <v>39.614377586181043</v>
      </c>
      <c r="E55" s="56">
        <v>391.75337450652688</v>
      </c>
      <c r="F55" s="83">
        <f>E55/36.744</f>
        <v>10.661696454020436</v>
      </c>
    </row>
    <row r="56" spans="1:6" ht="15.75" x14ac:dyDescent="0.25">
      <c r="A56" s="5" t="s">
        <v>0</v>
      </c>
      <c r="B56" s="98">
        <v>2464870</v>
      </c>
      <c r="C56" s="6">
        <v>2430000</v>
      </c>
      <c r="D56" s="73">
        <v>44.855967078189295</v>
      </c>
      <c r="E56" s="56">
        <v>109000</v>
      </c>
      <c r="F56" s="83">
        <f>E56/36.744</f>
        <v>2966.4707163074245</v>
      </c>
    </row>
    <row r="57" spans="1:6" ht="15.75" x14ac:dyDescent="0.25">
      <c r="A57" s="5"/>
      <c r="B57" s="6"/>
      <c r="C57" s="6"/>
      <c r="D57" s="73"/>
      <c r="E57" s="56"/>
      <c r="F57" s="83"/>
    </row>
    <row r="58" spans="1:6" x14ac:dyDescent="0.2">
      <c r="A58" s="8" t="s">
        <v>86</v>
      </c>
      <c r="B58" s="8"/>
      <c r="C58" s="64"/>
      <c r="D58" s="8"/>
      <c r="E58" s="8"/>
      <c r="F58" s="8"/>
    </row>
    <row r="59" spans="1:6" ht="203.25" customHeight="1" x14ac:dyDescent="0.2">
      <c r="A59" s="23" t="s">
        <v>58</v>
      </c>
      <c r="B59" s="23"/>
      <c r="C59" s="23"/>
      <c r="D59" s="23"/>
      <c r="E59" s="23"/>
      <c r="F59" s="23"/>
    </row>
    <row r="60" spans="1:6" ht="15.75" x14ac:dyDescent="0.25">
      <c r="A60" s="101" t="s">
        <v>87</v>
      </c>
      <c r="B60" s="3"/>
      <c r="C60" s="3"/>
      <c r="D60" s="4"/>
      <c r="E60" s="3"/>
      <c r="F60" s="68"/>
    </row>
    <row r="61" spans="1:6" x14ac:dyDescent="0.2">
      <c r="A61" s="1" t="s">
        <v>88</v>
      </c>
      <c r="B61" s="3"/>
      <c r="C61" s="3"/>
      <c r="D61" s="4"/>
      <c r="E61" s="3"/>
      <c r="F61" s="68"/>
    </row>
    <row r="62" spans="1:6" x14ac:dyDescent="0.2">
      <c r="A62" s="2"/>
      <c r="B62" s="3"/>
      <c r="C62" s="3"/>
      <c r="D62" s="4"/>
      <c r="E62" s="3"/>
      <c r="F62" s="68"/>
    </row>
    <row r="63" spans="1:6" x14ac:dyDescent="0.2">
      <c r="A63" s="2"/>
      <c r="B63" s="3"/>
      <c r="C63" s="3"/>
      <c r="D63" s="4"/>
      <c r="E63" s="3"/>
      <c r="F63" s="68"/>
    </row>
    <row r="64" spans="1:6" x14ac:dyDescent="0.2">
      <c r="A64" s="2"/>
      <c r="B64" s="3"/>
      <c r="C64" s="3"/>
      <c r="D64" s="4"/>
      <c r="E64" s="3"/>
      <c r="F64" s="68"/>
    </row>
    <row r="65" spans="1:6" x14ac:dyDescent="0.2">
      <c r="A65" s="2"/>
      <c r="B65" s="3"/>
      <c r="C65" s="3"/>
      <c r="D65" s="4"/>
      <c r="E65" s="3"/>
      <c r="F65" s="68"/>
    </row>
    <row r="66" spans="1:6" x14ac:dyDescent="0.2">
      <c r="A66" s="2"/>
      <c r="B66" s="3"/>
      <c r="C66" s="3"/>
      <c r="D66" s="4"/>
      <c r="E66" s="3"/>
      <c r="F66" s="68"/>
    </row>
    <row r="67" spans="1:6" x14ac:dyDescent="0.2">
      <c r="A67" s="2"/>
      <c r="B67" s="3"/>
      <c r="C67" s="3"/>
      <c r="D67" s="4"/>
      <c r="E67" s="3"/>
      <c r="F67" s="68"/>
    </row>
    <row r="68" spans="1:6" x14ac:dyDescent="0.2">
      <c r="A68" s="2"/>
      <c r="B68" s="3"/>
      <c r="C68" s="3"/>
      <c r="D68" s="4"/>
      <c r="E68" s="3"/>
      <c r="F68" s="68"/>
    </row>
    <row r="69" spans="1:6" x14ac:dyDescent="0.2">
      <c r="A69" s="2"/>
      <c r="B69" s="3"/>
      <c r="C69" s="3"/>
      <c r="D69" s="4"/>
      <c r="E69" s="3"/>
      <c r="F69" s="68"/>
    </row>
    <row r="70" spans="1:6" x14ac:dyDescent="0.2">
      <c r="A70" s="2"/>
      <c r="B70" s="3"/>
      <c r="C70" s="3"/>
      <c r="D70" s="4"/>
      <c r="E70" s="3"/>
      <c r="F70" s="68"/>
    </row>
    <row r="71" spans="1:6" x14ac:dyDescent="0.2">
      <c r="A71" s="2"/>
      <c r="B71" s="3"/>
      <c r="C71" s="3"/>
      <c r="D71" s="4"/>
      <c r="E71" s="3"/>
      <c r="F71" s="68"/>
    </row>
    <row r="72" spans="1:6" x14ac:dyDescent="0.2">
      <c r="A72" s="2"/>
      <c r="B72" s="3"/>
      <c r="C72" s="3"/>
      <c r="D72" s="4"/>
      <c r="E72" s="3"/>
      <c r="F72" s="68"/>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row>
    <row r="84" spans="1:6" x14ac:dyDescent="0.2">
      <c r="A84" s="2"/>
    </row>
    <row r="85" spans="1:6" x14ac:dyDescent="0.2">
      <c r="A85" s="2"/>
    </row>
    <row r="86" spans="1:6" x14ac:dyDescent="0.2">
      <c r="A86" s="2"/>
    </row>
    <row r="87" spans="1:6" x14ac:dyDescent="0.2">
      <c r="A87" s="2"/>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7AFDD-8450-45D7-BBBD-860D0779683D}">
  <dimension ref="A1:F86"/>
  <sheetViews>
    <sheetView workbookViewId="0"/>
  </sheetViews>
  <sheetFormatPr defaultRowHeight="15" x14ac:dyDescent="0.2"/>
  <cols>
    <col min="1" max="1" width="34.5546875" style="1" customWidth="1"/>
    <col min="2" max="2" width="12.109375" style="1" customWidth="1"/>
    <col min="3" max="3" width="13.109375" style="1" customWidth="1"/>
    <col min="4" max="6" width="13.6640625" style="1" customWidth="1"/>
  </cols>
  <sheetData>
    <row r="1" spans="1:6" ht="16.5" thickBot="1" x14ac:dyDescent="0.3">
      <c r="A1" s="137" t="s">
        <v>89</v>
      </c>
      <c r="B1" s="138"/>
      <c r="C1" s="138"/>
      <c r="D1" s="138"/>
      <c r="E1" s="138"/>
      <c r="F1" s="138"/>
    </row>
    <row r="2" spans="1:6" ht="30.75" thickBot="1" x14ac:dyDescent="0.3">
      <c r="A2" s="91"/>
      <c r="B2" s="92" t="s">
        <v>59</v>
      </c>
      <c r="C2" s="92" t="s">
        <v>57</v>
      </c>
      <c r="D2" s="94" t="s">
        <v>3</v>
      </c>
      <c r="E2" s="94" t="s">
        <v>1</v>
      </c>
      <c r="F2" s="94" t="s">
        <v>2</v>
      </c>
    </row>
    <row r="3" spans="1:6" x14ac:dyDescent="0.2">
      <c r="A3" s="1" t="s">
        <v>4</v>
      </c>
      <c r="B3" s="64">
        <v>40000</v>
      </c>
      <c r="C3" s="64">
        <v>40000</v>
      </c>
      <c r="D3" s="64">
        <v>49</v>
      </c>
      <c r="E3" s="64">
        <v>1960</v>
      </c>
      <c r="F3" s="97">
        <f>E3/36.744</f>
        <v>53.342042238188547</v>
      </c>
    </row>
    <row r="4" spans="1:6" x14ac:dyDescent="0.2">
      <c r="A4" s="1" t="s">
        <v>5</v>
      </c>
      <c r="B4" s="64">
        <v>210000</v>
      </c>
      <c r="C4" s="64">
        <v>210000</v>
      </c>
      <c r="D4" s="64">
        <v>47</v>
      </c>
      <c r="E4" s="64">
        <v>9870</v>
      </c>
      <c r="F4" s="97">
        <f t="shared" ref="F4:F43" si="0">E4/36.744</f>
        <v>268.6152841280209</v>
      </c>
    </row>
    <row r="5" spans="1:6" x14ac:dyDescent="0.2">
      <c r="A5" s="1" t="s">
        <v>6</v>
      </c>
      <c r="B5" s="64">
        <v>120000</v>
      </c>
      <c r="C5" s="64">
        <v>120000</v>
      </c>
      <c r="D5" s="64">
        <v>46</v>
      </c>
      <c r="E5" s="64">
        <v>5520</v>
      </c>
      <c r="F5" s="97">
        <f t="shared" si="0"/>
        <v>150.22860875244939</v>
      </c>
    </row>
    <row r="6" spans="1:6" x14ac:dyDescent="0.2">
      <c r="A6" s="1" t="s">
        <v>7</v>
      </c>
      <c r="B6" s="64">
        <v>220000</v>
      </c>
      <c r="C6" s="64">
        <v>220000</v>
      </c>
      <c r="D6" s="64">
        <v>42</v>
      </c>
      <c r="E6" s="64">
        <v>9240</v>
      </c>
      <c r="F6" s="97">
        <f t="shared" si="0"/>
        <v>251.46962769431744</v>
      </c>
    </row>
    <row r="7" spans="1:6" x14ac:dyDescent="0.2">
      <c r="A7" s="1" t="s">
        <v>8</v>
      </c>
      <c r="B7" s="64">
        <v>150000</v>
      </c>
      <c r="C7" s="64">
        <v>150000</v>
      </c>
      <c r="D7" s="64">
        <v>46</v>
      </c>
      <c r="E7" s="64">
        <v>6900</v>
      </c>
      <c r="F7" s="97">
        <f t="shared" si="0"/>
        <v>187.78576094056172</v>
      </c>
    </row>
    <row r="8" spans="1:6" x14ac:dyDescent="0.2">
      <c r="A8" s="1" t="s">
        <v>9</v>
      </c>
      <c r="B8" s="64">
        <v>34000</v>
      </c>
      <c r="C8" s="64">
        <v>34000</v>
      </c>
      <c r="D8" s="64">
        <v>47</v>
      </c>
      <c r="E8" s="64">
        <v>1598</v>
      </c>
      <c r="F8" s="97">
        <f t="shared" si="0"/>
        <v>43.490093620727194</v>
      </c>
    </row>
    <row r="9" spans="1:6" x14ac:dyDescent="0.2">
      <c r="A9" s="1" t="s">
        <v>10</v>
      </c>
      <c r="B9" s="64">
        <v>300000</v>
      </c>
      <c r="C9" s="64">
        <v>300000</v>
      </c>
      <c r="D9" s="64">
        <v>40</v>
      </c>
      <c r="E9" s="64">
        <v>12000</v>
      </c>
      <c r="F9" s="97">
        <f t="shared" si="0"/>
        <v>326.58393207054212</v>
      </c>
    </row>
    <row r="10" spans="1:6" x14ac:dyDescent="0.2">
      <c r="A10" s="1" t="s">
        <v>11</v>
      </c>
      <c r="B10" s="64">
        <v>140000</v>
      </c>
      <c r="C10" s="64">
        <v>140000</v>
      </c>
      <c r="D10" s="64">
        <v>45</v>
      </c>
      <c r="E10" s="64">
        <v>6300</v>
      </c>
      <c r="F10" s="97">
        <f t="shared" si="0"/>
        <v>171.45656433703462</v>
      </c>
    </row>
    <row r="11" spans="1:6" x14ac:dyDescent="0.2">
      <c r="A11" s="1" t="s">
        <v>12</v>
      </c>
      <c r="B11" s="64">
        <v>80000</v>
      </c>
      <c r="C11" s="64">
        <v>80000</v>
      </c>
      <c r="D11" s="64">
        <v>46</v>
      </c>
      <c r="E11" s="64">
        <v>3680</v>
      </c>
      <c r="F11" s="97">
        <f t="shared" si="0"/>
        <v>100.15240583496626</v>
      </c>
    </row>
    <row r="12" spans="1:6" x14ac:dyDescent="0.2">
      <c r="A12" s="1" t="s">
        <v>13</v>
      </c>
      <c r="B12" s="64">
        <v>70000</v>
      </c>
      <c r="C12" s="64">
        <v>70000</v>
      </c>
      <c r="D12" s="64">
        <v>54</v>
      </c>
      <c r="E12" s="64">
        <v>3780</v>
      </c>
      <c r="F12" s="97">
        <f t="shared" si="0"/>
        <v>102.87393860222078</v>
      </c>
    </row>
    <row r="13" spans="1:6" ht="15.75" x14ac:dyDescent="0.25">
      <c r="A13" s="10" t="s">
        <v>14</v>
      </c>
      <c r="B13" s="6">
        <v>1364000</v>
      </c>
      <c r="C13" s="6">
        <v>1364000</v>
      </c>
      <c r="D13" s="73">
        <v>44.609970674486803</v>
      </c>
      <c r="E13" s="6">
        <v>60848</v>
      </c>
      <c r="F13" s="83">
        <f>E13/36.744</f>
        <v>1655.9982582190289</v>
      </c>
    </row>
    <row r="14" spans="1:6" x14ac:dyDescent="0.2">
      <c r="A14" s="1" t="s">
        <v>15</v>
      </c>
      <c r="B14" s="64">
        <v>100000</v>
      </c>
      <c r="C14" s="64">
        <v>99800</v>
      </c>
      <c r="D14" s="64">
        <v>49</v>
      </c>
      <c r="E14" s="64">
        <v>4890</v>
      </c>
      <c r="F14" s="97">
        <f t="shared" si="0"/>
        <v>133.08295231874592</v>
      </c>
    </row>
    <row r="15" spans="1:6" x14ac:dyDescent="0.2">
      <c r="A15" s="1" t="s">
        <v>16</v>
      </c>
      <c r="B15" s="64">
        <v>14000</v>
      </c>
      <c r="C15" s="64">
        <v>14000</v>
      </c>
      <c r="D15" s="64">
        <v>45</v>
      </c>
      <c r="E15" s="64">
        <v>630</v>
      </c>
      <c r="F15" s="97">
        <f t="shared" si="0"/>
        <v>17.145656433703461</v>
      </c>
    </row>
    <row r="16" spans="1:6" x14ac:dyDescent="0.2">
      <c r="A16" s="1" t="s">
        <v>17</v>
      </c>
      <c r="B16" s="64">
        <v>17000</v>
      </c>
      <c r="C16" s="64">
        <v>17000</v>
      </c>
      <c r="D16" s="64">
        <v>45</v>
      </c>
      <c r="E16" s="64">
        <v>765</v>
      </c>
      <c r="F16" s="97">
        <f t="shared" si="0"/>
        <v>20.81972566949706</v>
      </c>
    </row>
    <row r="17" spans="1:6" x14ac:dyDescent="0.2">
      <c r="A17" s="1" t="s">
        <v>18</v>
      </c>
      <c r="B17" s="64">
        <v>19000</v>
      </c>
      <c r="C17" s="64">
        <v>19000</v>
      </c>
      <c r="D17" s="64">
        <v>42</v>
      </c>
      <c r="E17" s="64">
        <v>798</v>
      </c>
      <c r="F17" s="97">
        <f t="shared" si="0"/>
        <v>21.71783148269105</v>
      </c>
    </row>
    <row r="18" spans="1:6" x14ac:dyDescent="0.2">
      <c r="A18" s="1" t="s">
        <v>19</v>
      </c>
      <c r="B18" s="64">
        <v>160000</v>
      </c>
      <c r="C18" s="64">
        <v>159700</v>
      </c>
      <c r="D18" s="64">
        <v>50</v>
      </c>
      <c r="E18" s="64">
        <v>7985</v>
      </c>
      <c r="F18" s="97">
        <f t="shared" si="0"/>
        <v>217.31439146527325</v>
      </c>
    </row>
    <row r="19" spans="1:6" x14ac:dyDescent="0.2">
      <c r="A19" s="1" t="s">
        <v>20</v>
      </c>
      <c r="B19" s="64">
        <v>19000</v>
      </c>
      <c r="C19" s="64">
        <v>19000</v>
      </c>
      <c r="D19" s="64">
        <v>48</v>
      </c>
      <c r="E19" s="64">
        <v>912</v>
      </c>
      <c r="F19" s="97">
        <f t="shared" si="0"/>
        <v>24.820378837361201</v>
      </c>
    </row>
    <row r="20" spans="1:6" x14ac:dyDescent="0.2">
      <c r="A20" s="1" t="s">
        <v>21</v>
      </c>
      <c r="B20" s="64">
        <v>90000</v>
      </c>
      <c r="C20" s="64">
        <v>89800</v>
      </c>
      <c r="D20" s="64">
        <v>51</v>
      </c>
      <c r="E20" s="64">
        <v>4580</v>
      </c>
      <c r="F20" s="97">
        <f t="shared" si="0"/>
        <v>124.64620074025692</v>
      </c>
    </row>
    <row r="21" spans="1:6" x14ac:dyDescent="0.2">
      <c r="A21" s="1" t="s">
        <v>22</v>
      </c>
      <c r="B21" s="64">
        <v>85000</v>
      </c>
      <c r="C21" s="64">
        <v>84800</v>
      </c>
      <c r="D21" s="64">
        <v>48</v>
      </c>
      <c r="E21" s="64">
        <v>4070</v>
      </c>
      <c r="F21" s="97">
        <f t="shared" si="0"/>
        <v>110.76638362725888</v>
      </c>
    </row>
    <row r="22" spans="1:6" x14ac:dyDescent="0.2">
      <c r="A22" s="1" t="s">
        <v>23</v>
      </c>
      <c r="B22" s="64">
        <v>30000</v>
      </c>
      <c r="C22" s="64">
        <v>30000</v>
      </c>
      <c r="D22" s="64">
        <v>49</v>
      </c>
      <c r="E22" s="64">
        <v>1470</v>
      </c>
      <c r="F22" s="97">
        <f t="shared" si="0"/>
        <v>40.006531678641409</v>
      </c>
    </row>
    <row r="23" spans="1:6" x14ac:dyDescent="0.2">
      <c r="A23" s="1" t="s">
        <v>24</v>
      </c>
      <c r="B23" s="64">
        <v>85000</v>
      </c>
      <c r="C23" s="64">
        <v>84900</v>
      </c>
      <c r="D23" s="64">
        <v>47</v>
      </c>
      <c r="E23" s="64">
        <v>3990</v>
      </c>
      <c r="F23" s="97">
        <f t="shared" si="0"/>
        <v>108.58915741345525</v>
      </c>
    </row>
    <row r="24" spans="1:6" ht="15.75" x14ac:dyDescent="0.25">
      <c r="A24" s="10" t="s">
        <v>25</v>
      </c>
      <c r="B24" s="6">
        <v>619000</v>
      </c>
      <c r="C24" s="6">
        <v>618000</v>
      </c>
      <c r="D24" s="73">
        <v>48.689320388349515</v>
      </c>
      <c r="E24" s="6">
        <v>30090</v>
      </c>
      <c r="F24" s="83">
        <f>E24/36.744</f>
        <v>818.90920966688441</v>
      </c>
    </row>
    <row r="25" spans="1:6" x14ac:dyDescent="0.2">
      <c r="A25" s="1" t="s">
        <v>26</v>
      </c>
      <c r="B25" s="64">
        <v>53000</v>
      </c>
      <c r="C25" s="64">
        <v>53000</v>
      </c>
      <c r="D25" s="64">
        <v>48</v>
      </c>
      <c r="E25" s="64">
        <v>2544</v>
      </c>
      <c r="F25" s="97">
        <f t="shared" si="0"/>
        <v>69.235793598954928</v>
      </c>
    </row>
    <row r="26" spans="1:6" x14ac:dyDescent="0.2">
      <c r="A26" s="1" t="s">
        <v>27</v>
      </c>
      <c r="B26" s="58" t="s">
        <v>65</v>
      </c>
      <c r="C26" s="58" t="s">
        <v>65</v>
      </c>
      <c r="D26" s="58" t="s">
        <v>65</v>
      </c>
      <c r="E26" s="58" t="s">
        <v>65</v>
      </c>
      <c r="F26" s="58" t="s">
        <v>65</v>
      </c>
    </row>
    <row r="27" spans="1:6" x14ac:dyDescent="0.2">
      <c r="A27" s="1" t="s">
        <v>28</v>
      </c>
      <c r="B27" s="64">
        <v>14000</v>
      </c>
      <c r="C27" s="64">
        <v>14000</v>
      </c>
      <c r="D27" s="64">
        <v>49</v>
      </c>
      <c r="E27" s="64">
        <v>686</v>
      </c>
      <c r="F27" s="97">
        <f t="shared" si="0"/>
        <v>18.669714783365993</v>
      </c>
    </row>
    <row r="28" spans="1:6" x14ac:dyDescent="0.2">
      <c r="A28" s="1" t="s">
        <v>29</v>
      </c>
      <c r="B28" s="64">
        <v>25000</v>
      </c>
      <c r="C28" s="64">
        <v>25000</v>
      </c>
      <c r="D28" s="64">
        <v>47</v>
      </c>
      <c r="E28" s="64">
        <v>1175</v>
      </c>
      <c r="F28" s="97">
        <f t="shared" si="0"/>
        <v>31.978010015240585</v>
      </c>
    </row>
    <row r="29" spans="1:6" x14ac:dyDescent="0.2">
      <c r="A29" s="1" t="s">
        <v>30</v>
      </c>
      <c r="B29" s="58" t="s">
        <v>65</v>
      </c>
      <c r="C29" s="58" t="s">
        <v>65</v>
      </c>
      <c r="D29" s="58" t="s">
        <v>65</v>
      </c>
      <c r="E29" s="58" t="s">
        <v>65</v>
      </c>
      <c r="F29" s="58" t="s">
        <v>65</v>
      </c>
    </row>
    <row r="30" spans="1:6" x14ac:dyDescent="0.2">
      <c r="A30" s="1" t="s">
        <v>31</v>
      </c>
      <c r="B30" s="64">
        <v>27000</v>
      </c>
      <c r="C30" s="64">
        <v>27000</v>
      </c>
      <c r="D30" s="64">
        <v>46</v>
      </c>
      <c r="E30" s="64">
        <v>1242</v>
      </c>
      <c r="F30" s="97">
        <f t="shared" si="0"/>
        <v>33.801436969301108</v>
      </c>
    </row>
    <row r="31" spans="1:6" x14ac:dyDescent="0.2">
      <c r="A31" s="1" t="s">
        <v>32</v>
      </c>
      <c r="B31" s="58" t="s">
        <v>65</v>
      </c>
      <c r="C31" s="58" t="s">
        <v>65</v>
      </c>
      <c r="D31" s="58" t="s">
        <v>65</v>
      </c>
      <c r="E31" s="58" t="s">
        <v>65</v>
      </c>
      <c r="F31" s="58" t="s">
        <v>65</v>
      </c>
    </row>
    <row r="32" spans="1:6" x14ac:dyDescent="0.2">
      <c r="A32" s="1" t="s">
        <v>33</v>
      </c>
      <c r="B32" s="64">
        <v>13000</v>
      </c>
      <c r="C32" s="64">
        <v>13000</v>
      </c>
      <c r="D32" s="64">
        <v>43</v>
      </c>
      <c r="E32" s="64">
        <v>559</v>
      </c>
      <c r="F32" s="97">
        <f t="shared" si="0"/>
        <v>15.213368168952755</v>
      </c>
    </row>
    <row r="33" spans="1:6" x14ac:dyDescent="0.2">
      <c r="A33" s="1" t="s">
        <v>34</v>
      </c>
      <c r="B33" s="64">
        <v>20000</v>
      </c>
      <c r="C33" s="64">
        <v>20000</v>
      </c>
      <c r="D33" s="64">
        <v>34</v>
      </c>
      <c r="E33" s="64">
        <v>680</v>
      </c>
      <c r="F33" s="97">
        <f t="shared" si="0"/>
        <v>18.506422817330719</v>
      </c>
    </row>
    <row r="34" spans="1:6" x14ac:dyDescent="0.2">
      <c r="A34" s="1" t="s">
        <v>35</v>
      </c>
      <c r="B34" s="64">
        <v>26000</v>
      </c>
      <c r="C34" s="64">
        <v>26000</v>
      </c>
      <c r="D34" s="64">
        <v>42</v>
      </c>
      <c r="E34" s="64">
        <v>1092</v>
      </c>
      <c r="F34" s="97">
        <f t="shared" si="0"/>
        <v>29.719137818419334</v>
      </c>
    </row>
    <row r="35" spans="1:6" ht="15.75" x14ac:dyDescent="0.25">
      <c r="A35" s="10" t="s">
        <v>36</v>
      </c>
      <c r="B35" s="6">
        <v>178000</v>
      </c>
      <c r="C35" s="6">
        <v>178000</v>
      </c>
      <c r="D35" s="73">
        <v>44.820224719101127</v>
      </c>
      <c r="E35" s="6">
        <v>7978</v>
      </c>
      <c r="F35" s="83">
        <f>E35/36.744</f>
        <v>217.12388417156544</v>
      </c>
    </row>
    <row r="36" spans="1:6" x14ac:dyDescent="0.2">
      <c r="A36" s="1" t="s">
        <v>37</v>
      </c>
      <c r="B36" s="64">
        <v>7000</v>
      </c>
      <c r="C36" s="64">
        <v>6900</v>
      </c>
      <c r="D36" s="64">
        <v>45</v>
      </c>
      <c r="E36" s="64">
        <v>311</v>
      </c>
      <c r="F36" s="97">
        <f t="shared" si="0"/>
        <v>8.4639669061615503</v>
      </c>
    </row>
    <row r="37" spans="1:6" x14ac:dyDescent="0.2">
      <c r="A37" s="1" t="s">
        <v>38</v>
      </c>
      <c r="B37" s="64">
        <v>10000</v>
      </c>
      <c r="C37" s="64">
        <v>9900</v>
      </c>
      <c r="D37" s="64">
        <v>51</v>
      </c>
      <c r="E37" s="64">
        <v>505</v>
      </c>
      <c r="F37" s="97">
        <f t="shared" si="0"/>
        <v>13.743740474635315</v>
      </c>
    </row>
    <row r="38" spans="1:6" x14ac:dyDescent="0.2">
      <c r="A38" s="1" t="s">
        <v>39</v>
      </c>
      <c r="B38" s="64">
        <v>16000</v>
      </c>
      <c r="C38" s="64">
        <v>15900</v>
      </c>
      <c r="D38" s="64">
        <v>47</v>
      </c>
      <c r="E38" s="64">
        <v>747</v>
      </c>
      <c r="F38" s="97">
        <f t="shared" si="0"/>
        <v>20.329849771391249</v>
      </c>
    </row>
    <row r="39" spans="1:6" x14ac:dyDescent="0.2">
      <c r="A39" s="1" t="s">
        <v>40</v>
      </c>
      <c r="B39" s="64">
        <v>13000</v>
      </c>
      <c r="C39" s="64">
        <v>12900</v>
      </c>
      <c r="D39" s="64">
        <v>43</v>
      </c>
      <c r="E39" s="64">
        <v>555</v>
      </c>
      <c r="F39" s="97">
        <f t="shared" si="0"/>
        <v>15.104506858262573</v>
      </c>
    </row>
    <row r="40" spans="1:6" x14ac:dyDescent="0.2">
      <c r="A40" s="1" t="s">
        <v>41</v>
      </c>
      <c r="B40" s="64">
        <v>44000</v>
      </c>
      <c r="C40" s="64">
        <v>43700</v>
      </c>
      <c r="D40" s="64">
        <v>49</v>
      </c>
      <c r="E40" s="64">
        <v>2141</v>
      </c>
      <c r="F40" s="97">
        <f t="shared" si="0"/>
        <v>58.268016546919227</v>
      </c>
    </row>
    <row r="41" spans="1:6" x14ac:dyDescent="0.2">
      <c r="A41" s="1" t="s">
        <v>42</v>
      </c>
      <c r="B41" s="64">
        <v>70000</v>
      </c>
      <c r="C41" s="64">
        <v>69500</v>
      </c>
      <c r="D41" s="64">
        <v>47</v>
      </c>
      <c r="E41" s="64">
        <v>3267</v>
      </c>
      <c r="F41" s="97">
        <f t="shared" si="0"/>
        <v>88.912475506205098</v>
      </c>
    </row>
    <row r="42" spans="1:6" x14ac:dyDescent="0.2">
      <c r="A42" s="1" t="s">
        <v>43</v>
      </c>
      <c r="B42" s="64">
        <v>16000</v>
      </c>
      <c r="C42" s="64">
        <v>15900</v>
      </c>
      <c r="D42" s="64">
        <v>44</v>
      </c>
      <c r="E42" s="64">
        <v>700</v>
      </c>
      <c r="F42" s="97">
        <f t="shared" si="0"/>
        <v>19.050729370781625</v>
      </c>
    </row>
    <row r="43" spans="1:6" x14ac:dyDescent="0.2">
      <c r="A43" s="1" t="s">
        <v>44</v>
      </c>
      <c r="B43" s="64">
        <v>97000</v>
      </c>
      <c r="C43" s="64">
        <v>96300</v>
      </c>
      <c r="D43" s="64">
        <v>48</v>
      </c>
      <c r="E43" s="64">
        <v>4622</v>
      </c>
      <c r="F43" s="97">
        <f t="shared" si="0"/>
        <v>125.78924450250381</v>
      </c>
    </row>
    <row r="44" spans="1:6" ht="15.75" x14ac:dyDescent="0.25">
      <c r="A44" s="10" t="s">
        <v>45</v>
      </c>
      <c r="B44" s="6">
        <v>273000</v>
      </c>
      <c r="C44" s="6">
        <v>271000</v>
      </c>
      <c r="D44" s="73">
        <v>47.40959409594096</v>
      </c>
      <c r="E44" s="6">
        <v>12848</v>
      </c>
      <c r="F44" s="83">
        <f>E44/36.744</f>
        <v>349.66252993686044</v>
      </c>
    </row>
    <row r="45" spans="1:6" x14ac:dyDescent="0.2">
      <c r="A45" s="1" t="s">
        <v>46</v>
      </c>
      <c r="B45" s="58" t="s">
        <v>65</v>
      </c>
      <c r="C45" s="58" t="s">
        <v>65</v>
      </c>
      <c r="D45" s="58" t="s">
        <v>65</v>
      </c>
      <c r="E45" s="58" t="s">
        <v>65</v>
      </c>
      <c r="F45" s="58" t="s">
        <v>65</v>
      </c>
    </row>
    <row r="46" spans="1:6" x14ac:dyDescent="0.2">
      <c r="A46" s="1" t="s">
        <v>47</v>
      </c>
      <c r="B46" s="58" t="s">
        <v>65</v>
      </c>
      <c r="C46" s="58" t="s">
        <v>65</v>
      </c>
      <c r="D46" s="58" t="s">
        <v>65</v>
      </c>
      <c r="E46" s="58" t="s">
        <v>65</v>
      </c>
      <c r="F46" s="58" t="s">
        <v>65</v>
      </c>
    </row>
    <row r="47" spans="1:6" x14ac:dyDescent="0.2">
      <c r="A47" s="100" t="s">
        <v>48</v>
      </c>
      <c r="B47" s="58" t="s">
        <v>65</v>
      </c>
      <c r="C47" s="58" t="s">
        <v>65</v>
      </c>
      <c r="D47" s="58" t="s">
        <v>65</v>
      </c>
      <c r="E47" s="58" t="s">
        <v>65</v>
      </c>
      <c r="F47" s="58" t="s">
        <v>65</v>
      </c>
    </row>
    <row r="48" spans="1:6" x14ac:dyDescent="0.2">
      <c r="A48" s="1" t="s">
        <v>49</v>
      </c>
      <c r="B48" s="58" t="s">
        <v>65</v>
      </c>
      <c r="C48" s="58" t="s">
        <v>65</v>
      </c>
      <c r="D48" s="58" t="s">
        <v>65</v>
      </c>
      <c r="E48" s="58" t="s">
        <v>65</v>
      </c>
      <c r="F48" s="58" t="s">
        <v>65</v>
      </c>
    </row>
    <row r="49" spans="1:6" x14ac:dyDescent="0.2">
      <c r="A49" s="1" t="s">
        <v>50</v>
      </c>
      <c r="B49" s="58" t="s">
        <v>65</v>
      </c>
      <c r="C49" s="58" t="s">
        <v>65</v>
      </c>
      <c r="D49" s="58" t="s">
        <v>65</v>
      </c>
      <c r="E49" s="58" t="s">
        <v>65</v>
      </c>
      <c r="F49" s="58" t="s">
        <v>65</v>
      </c>
    </row>
    <row r="50" spans="1:6" x14ac:dyDescent="0.2">
      <c r="A50" s="1" t="s">
        <v>51</v>
      </c>
      <c r="B50" s="58" t="s">
        <v>65</v>
      </c>
      <c r="C50" s="58" t="s">
        <v>65</v>
      </c>
      <c r="D50" s="58" t="s">
        <v>65</v>
      </c>
      <c r="E50" s="58" t="s">
        <v>65</v>
      </c>
      <c r="F50" s="58" t="s">
        <v>65</v>
      </c>
    </row>
    <row r="51" spans="1:6" x14ac:dyDescent="0.2">
      <c r="A51" s="1" t="s">
        <v>52</v>
      </c>
      <c r="B51" s="58" t="s">
        <v>65</v>
      </c>
      <c r="C51" s="58" t="s">
        <v>65</v>
      </c>
      <c r="D51" s="58" t="s">
        <v>65</v>
      </c>
      <c r="E51" s="58" t="s">
        <v>65</v>
      </c>
      <c r="F51" s="58" t="s">
        <v>65</v>
      </c>
    </row>
    <row r="52" spans="1:6" x14ac:dyDescent="0.2">
      <c r="A52" s="1" t="s">
        <v>53</v>
      </c>
      <c r="B52" s="58" t="s">
        <v>65</v>
      </c>
      <c r="C52" s="58" t="s">
        <v>65</v>
      </c>
      <c r="D52" s="58" t="s">
        <v>65</v>
      </c>
      <c r="E52" s="58" t="s">
        <v>65</v>
      </c>
      <c r="F52" s="58" t="s">
        <v>65</v>
      </c>
    </row>
    <row r="53" spans="1:6" x14ac:dyDescent="0.2">
      <c r="A53" s="1" t="s">
        <v>54</v>
      </c>
      <c r="B53" s="58" t="s">
        <v>65</v>
      </c>
      <c r="C53" s="58" t="s">
        <v>65</v>
      </c>
      <c r="D53" s="58" t="s">
        <v>65</v>
      </c>
      <c r="E53" s="58" t="s">
        <v>65</v>
      </c>
      <c r="F53" s="58" t="s">
        <v>65</v>
      </c>
    </row>
    <row r="54" spans="1:6" x14ac:dyDescent="0.2">
      <c r="A54" s="1" t="s">
        <v>55</v>
      </c>
      <c r="B54" s="58" t="s">
        <v>65</v>
      </c>
      <c r="C54" s="58" t="s">
        <v>65</v>
      </c>
      <c r="D54" s="58" t="s">
        <v>65</v>
      </c>
      <c r="E54" s="58" t="s">
        <v>65</v>
      </c>
      <c r="F54" s="58" t="s">
        <v>65</v>
      </c>
    </row>
    <row r="55" spans="1:6" ht="15.75" x14ac:dyDescent="0.25">
      <c r="A55" s="10" t="s">
        <v>56</v>
      </c>
      <c r="B55" s="6">
        <v>6000</v>
      </c>
      <c r="C55" s="6">
        <v>6000</v>
      </c>
      <c r="D55" s="73">
        <v>39.299999999999997</v>
      </c>
      <c r="E55" s="6">
        <v>236</v>
      </c>
      <c r="F55" s="83">
        <f>E55/36.744</f>
        <v>6.4228173307206617</v>
      </c>
    </row>
    <row r="56" spans="1:6" ht="15.75" x14ac:dyDescent="0.25">
      <c r="A56" s="5" t="s">
        <v>0</v>
      </c>
      <c r="B56" s="6">
        <v>2440000</v>
      </c>
      <c r="C56" s="6">
        <v>2437000</v>
      </c>
      <c r="D56" s="73">
        <v>45.958145260566269</v>
      </c>
      <c r="E56" s="6">
        <v>112000</v>
      </c>
      <c r="F56" s="83">
        <f>E56/36.744</f>
        <v>3048.1166993250599</v>
      </c>
    </row>
    <row r="57" spans="1:6" x14ac:dyDescent="0.2">
      <c r="A57" s="8"/>
      <c r="B57" s="8"/>
      <c r="C57" s="64"/>
      <c r="D57" s="8"/>
      <c r="E57" s="8"/>
      <c r="F57" s="8"/>
    </row>
    <row r="58" spans="1:6" ht="171" customHeight="1" x14ac:dyDescent="0.2">
      <c r="A58" s="139" t="s">
        <v>58</v>
      </c>
      <c r="B58" s="139"/>
      <c r="C58" s="139"/>
      <c r="D58" s="139"/>
      <c r="E58" s="139"/>
      <c r="F58" s="139"/>
    </row>
    <row r="59" spans="1:6" x14ac:dyDescent="0.2">
      <c r="A59"/>
      <c r="B59" s="3"/>
      <c r="C59" s="3"/>
      <c r="D59" s="4"/>
      <c r="E59" s="3"/>
      <c r="F59" s="68"/>
    </row>
    <row r="60" spans="1:6" ht="15.75" x14ac:dyDescent="0.25">
      <c r="A60" s="102" t="s">
        <v>90</v>
      </c>
      <c r="B60" s="3"/>
      <c r="C60" s="3"/>
      <c r="D60" s="4"/>
      <c r="E60" s="3"/>
      <c r="F60" s="68"/>
    </row>
    <row r="61" spans="1:6" x14ac:dyDescent="0.2">
      <c r="A61" s="2"/>
      <c r="B61" s="3"/>
      <c r="C61" s="3"/>
      <c r="D61" s="4"/>
      <c r="E61" s="3"/>
      <c r="F61" s="68"/>
    </row>
    <row r="62" spans="1:6" x14ac:dyDescent="0.2">
      <c r="A62" s="2"/>
      <c r="B62" s="3"/>
      <c r="C62" s="3"/>
      <c r="D62" s="4"/>
      <c r="E62" s="3"/>
      <c r="F62" s="68"/>
    </row>
    <row r="63" spans="1:6" x14ac:dyDescent="0.2">
      <c r="A63" s="2"/>
      <c r="B63" s="3"/>
      <c r="C63" s="3"/>
      <c r="D63" s="4"/>
      <c r="E63" s="3"/>
      <c r="F63" s="68"/>
    </row>
    <row r="64" spans="1:6" x14ac:dyDescent="0.2">
      <c r="A64" s="2"/>
      <c r="B64" s="3"/>
      <c r="C64" s="3"/>
      <c r="D64" s="4"/>
      <c r="E64" s="3"/>
      <c r="F64" s="68"/>
    </row>
    <row r="65" spans="1:6" x14ac:dyDescent="0.2">
      <c r="A65" s="2"/>
      <c r="B65" s="3"/>
      <c r="C65" s="3"/>
      <c r="D65" s="4"/>
      <c r="E65" s="3"/>
      <c r="F65" s="68"/>
    </row>
    <row r="66" spans="1:6" x14ac:dyDescent="0.2">
      <c r="A66" s="2"/>
      <c r="B66" s="3"/>
      <c r="C66" s="3"/>
      <c r="D66" s="4"/>
      <c r="E66" s="3"/>
      <c r="F66" s="68"/>
    </row>
    <row r="67" spans="1:6" x14ac:dyDescent="0.2">
      <c r="A67" s="2"/>
      <c r="B67" s="3"/>
      <c r="C67" s="3"/>
      <c r="D67" s="4"/>
      <c r="E67" s="3"/>
      <c r="F67" s="68"/>
    </row>
    <row r="68" spans="1:6" x14ac:dyDescent="0.2">
      <c r="A68" s="2"/>
      <c r="B68" s="3"/>
      <c r="C68" s="3"/>
      <c r="D68" s="4"/>
      <c r="E68" s="3"/>
      <c r="F68" s="68"/>
    </row>
    <row r="69" spans="1:6" x14ac:dyDescent="0.2">
      <c r="A69" s="2"/>
      <c r="B69" s="3"/>
      <c r="C69" s="3"/>
      <c r="D69" s="4"/>
      <c r="E69" s="3"/>
      <c r="F69" s="68"/>
    </row>
    <row r="70" spans="1:6" x14ac:dyDescent="0.2">
      <c r="A70" s="2"/>
      <c r="B70" s="3"/>
      <c r="C70" s="3"/>
      <c r="D70" s="4"/>
      <c r="E70" s="3"/>
      <c r="F70" s="68"/>
    </row>
    <row r="71" spans="1:6" x14ac:dyDescent="0.2">
      <c r="A71" s="2"/>
      <c r="B71" s="3"/>
      <c r="C71" s="3"/>
      <c r="D71" s="4"/>
      <c r="E71" s="3"/>
      <c r="F71" s="68"/>
    </row>
    <row r="72" spans="1:6" x14ac:dyDescent="0.2">
      <c r="A72" s="2"/>
      <c r="B72" s="2"/>
      <c r="C72" s="2"/>
      <c r="D72" s="2"/>
      <c r="E72" s="2"/>
      <c r="F72" s="2"/>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row>
    <row r="83" spans="1:6" x14ac:dyDescent="0.2">
      <c r="A83" s="2"/>
    </row>
    <row r="84" spans="1:6" x14ac:dyDescent="0.2">
      <c r="A84" s="2"/>
    </row>
    <row r="85" spans="1:6" x14ac:dyDescent="0.2">
      <c r="A85" s="2"/>
    </row>
    <row r="86" spans="1:6" x14ac:dyDescent="0.2">
      <c r="A86" s="2"/>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0BFA8-53EF-44D0-9B30-05D37EE6CA1C}">
  <dimension ref="A1:F86"/>
  <sheetViews>
    <sheetView workbookViewId="0">
      <selection activeCell="J25" sqref="J25"/>
    </sheetView>
  </sheetViews>
  <sheetFormatPr defaultRowHeight="15" x14ac:dyDescent="0.2"/>
  <cols>
    <col min="1" max="1" width="34.5546875" style="1" customWidth="1"/>
    <col min="2" max="2" width="13.77734375" style="1" customWidth="1"/>
    <col min="3" max="3" width="13.109375" style="1" customWidth="1"/>
    <col min="4" max="4" width="15.33203125" style="1" customWidth="1"/>
    <col min="5" max="5" width="14.6640625" style="1" customWidth="1"/>
    <col min="6" max="6" width="14.33203125" style="1" customWidth="1"/>
  </cols>
  <sheetData>
    <row r="1" spans="1:6" ht="16.5" thickBot="1" x14ac:dyDescent="0.3">
      <c r="A1" s="137" t="s">
        <v>91</v>
      </c>
      <c r="B1" s="138"/>
      <c r="C1" s="138"/>
      <c r="D1" s="138"/>
      <c r="E1" s="138"/>
      <c r="F1" s="138"/>
    </row>
    <row r="2" spans="1:6" ht="30.75" thickBot="1" x14ac:dyDescent="0.3">
      <c r="A2" s="91"/>
      <c r="B2" s="92" t="s">
        <v>59</v>
      </c>
      <c r="C2" s="92" t="s">
        <v>57</v>
      </c>
      <c r="D2" s="94" t="s">
        <v>3</v>
      </c>
      <c r="E2" s="94" t="s">
        <v>1</v>
      </c>
      <c r="F2" s="94" t="s">
        <v>2</v>
      </c>
    </row>
    <row r="3" spans="1:6" x14ac:dyDescent="0.2">
      <c r="A3" s="1" t="s">
        <v>4</v>
      </c>
      <c r="B3" s="64">
        <v>52000</v>
      </c>
      <c r="C3" s="64">
        <v>51900</v>
      </c>
      <c r="D3" s="64">
        <v>41</v>
      </c>
      <c r="E3" s="72">
        <v>2128</v>
      </c>
      <c r="F3" s="97">
        <f>E3/36.744</f>
        <v>57.914217287176136</v>
      </c>
    </row>
    <row r="4" spans="1:6" x14ac:dyDescent="0.2">
      <c r="A4" s="1" t="s">
        <v>5</v>
      </c>
      <c r="B4" s="64">
        <v>200000</v>
      </c>
      <c r="C4" s="64">
        <v>199600</v>
      </c>
      <c r="D4" s="64">
        <v>47</v>
      </c>
      <c r="E4" s="72">
        <v>9381</v>
      </c>
      <c r="F4" s="97">
        <f t="shared" ref="F4:F43" si="0">E4/36.744</f>
        <v>255.30698889614632</v>
      </c>
    </row>
    <row r="5" spans="1:6" x14ac:dyDescent="0.2">
      <c r="A5" s="1" t="s">
        <v>6</v>
      </c>
      <c r="B5" s="64">
        <v>100000</v>
      </c>
      <c r="C5" s="64">
        <v>99800</v>
      </c>
      <c r="D5" s="64">
        <v>43</v>
      </c>
      <c r="E5" s="72">
        <v>4291</v>
      </c>
      <c r="F5" s="97">
        <f t="shared" si="0"/>
        <v>116.78097104289135</v>
      </c>
    </row>
    <row r="6" spans="1:6" x14ac:dyDescent="0.2">
      <c r="A6" s="1" t="s">
        <v>7</v>
      </c>
      <c r="B6" s="64">
        <v>165000</v>
      </c>
      <c r="C6" s="64">
        <v>164600</v>
      </c>
      <c r="D6" s="64">
        <v>47</v>
      </c>
      <c r="E6" s="72">
        <v>7736</v>
      </c>
      <c r="F6" s="97">
        <f t="shared" si="0"/>
        <v>210.53777487480949</v>
      </c>
    </row>
    <row r="7" spans="1:6" x14ac:dyDescent="0.2">
      <c r="A7" s="1" t="s">
        <v>8</v>
      </c>
      <c r="B7" s="64">
        <v>160000</v>
      </c>
      <c r="C7" s="64">
        <v>159700</v>
      </c>
      <c r="D7" s="64">
        <v>40</v>
      </c>
      <c r="E7" s="72">
        <v>6388</v>
      </c>
      <c r="F7" s="97">
        <f t="shared" si="0"/>
        <v>173.8515131722186</v>
      </c>
    </row>
    <row r="8" spans="1:6" x14ac:dyDescent="0.2">
      <c r="A8" s="1" t="s">
        <v>9</v>
      </c>
      <c r="B8" s="64">
        <v>28000</v>
      </c>
      <c r="C8" s="64">
        <v>28000</v>
      </c>
      <c r="D8" s="64">
        <v>40</v>
      </c>
      <c r="E8" s="72">
        <v>1120</v>
      </c>
      <c r="F8" s="97">
        <f t="shared" si="0"/>
        <v>30.4811669932506</v>
      </c>
    </row>
    <row r="9" spans="1:6" x14ac:dyDescent="0.2">
      <c r="A9" s="1" t="s">
        <v>10</v>
      </c>
      <c r="B9" s="64">
        <v>260000</v>
      </c>
      <c r="C9" s="64">
        <v>259500</v>
      </c>
      <c r="D9" s="64">
        <v>43</v>
      </c>
      <c r="E9" s="72">
        <v>11159</v>
      </c>
      <c r="F9" s="97">
        <f t="shared" si="0"/>
        <v>303.69584149793161</v>
      </c>
    </row>
    <row r="10" spans="1:6" x14ac:dyDescent="0.2">
      <c r="A10" s="1" t="s">
        <v>11</v>
      </c>
      <c r="B10" s="64">
        <v>160000</v>
      </c>
      <c r="C10" s="64">
        <v>159800</v>
      </c>
      <c r="D10" s="64">
        <v>41</v>
      </c>
      <c r="E10" s="72">
        <v>6552</v>
      </c>
      <c r="F10" s="97">
        <f t="shared" si="0"/>
        <v>178.31482691051599</v>
      </c>
    </row>
    <row r="11" spans="1:6" x14ac:dyDescent="0.2">
      <c r="A11" s="1" t="s">
        <v>12</v>
      </c>
      <c r="B11" s="64">
        <v>60000</v>
      </c>
      <c r="C11" s="64">
        <v>59900</v>
      </c>
      <c r="D11" s="64">
        <v>38</v>
      </c>
      <c r="E11" s="72">
        <v>2276</v>
      </c>
      <c r="F11" s="97">
        <f t="shared" si="0"/>
        <v>61.942085782712823</v>
      </c>
    </row>
    <row r="12" spans="1:6" x14ac:dyDescent="0.2">
      <c r="A12" s="1" t="s">
        <v>13</v>
      </c>
      <c r="B12" s="64">
        <v>130000</v>
      </c>
      <c r="C12" s="64">
        <v>129800</v>
      </c>
      <c r="D12" s="64">
        <v>44</v>
      </c>
      <c r="E12" s="72">
        <v>5711</v>
      </c>
      <c r="F12" s="97">
        <f t="shared" si="0"/>
        <v>155.42673633790551</v>
      </c>
    </row>
    <row r="13" spans="1:6" ht="15.75" x14ac:dyDescent="0.25">
      <c r="A13" s="10" t="s">
        <v>14</v>
      </c>
      <c r="B13" s="6">
        <v>1315000</v>
      </c>
      <c r="C13" s="6">
        <v>1312600</v>
      </c>
      <c r="D13" s="73">
        <v>43.228706384275483</v>
      </c>
      <c r="E13" s="56">
        <v>56742</v>
      </c>
      <c r="F13" s="83">
        <f>E13/36.744</f>
        <v>1544.2521227955585</v>
      </c>
    </row>
    <row r="14" spans="1:6" x14ac:dyDescent="0.2">
      <c r="A14" s="1" t="s">
        <v>15</v>
      </c>
      <c r="B14" s="64">
        <v>100000</v>
      </c>
      <c r="C14" s="64">
        <v>99800</v>
      </c>
      <c r="D14" s="64">
        <v>36</v>
      </c>
      <c r="E14" s="72">
        <v>3593</v>
      </c>
      <c r="F14" s="97">
        <f t="shared" si="0"/>
        <v>97.784672327454828</v>
      </c>
    </row>
    <row r="15" spans="1:6" x14ac:dyDescent="0.2">
      <c r="A15" s="1" t="s">
        <v>16</v>
      </c>
      <c r="B15" s="64">
        <v>19000</v>
      </c>
      <c r="C15" s="64">
        <v>19000</v>
      </c>
      <c r="D15" s="64">
        <v>28</v>
      </c>
      <c r="E15" s="72">
        <v>532</v>
      </c>
      <c r="F15" s="97">
        <f t="shared" si="0"/>
        <v>14.478554321794034</v>
      </c>
    </row>
    <row r="16" spans="1:6" x14ac:dyDescent="0.2">
      <c r="A16" s="1" t="s">
        <v>17</v>
      </c>
      <c r="B16" s="64">
        <v>21000</v>
      </c>
      <c r="C16" s="64">
        <v>21000</v>
      </c>
      <c r="D16" s="64">
        <v>28</v>
      </c>
      <c r="E16" s="72">
        <v>588</v>
      </c>
      <c r="F16" s="97">
        <f t="shared" si="0"/>
        <v>16.002612671456564</v>
      </c>
    </row>
    <row r="17" spans="1:6" x14ac:dyDescent="0.2">
      <c r="A17" s="1" t="s">
        <v>18</v>
      </c>
      <c r="B17" s="64">
        <v>16000</v>
      </c>
      <c r="C17" s="64">
        <v>16000</v>
      </c>
      <c r="D17" s="64">
        <v>36</v>
      </c>
      <c r="E17" s="72">
        <v>576</v>
      </c>
      <c r="F17" s="97">
        <f t="shared" si="0"/>
        <v>15.676028739386023</v>
      </c>
    </row>
    <row r="18" spans="1:6" x14ac:dyDescent="0.2">
      <c r="A18" s="1" t="s">
        <v>19</v>
      </c>
      <c r="B18" s="64">
        <v>175000</v>
      </c>
      <c r="C18" s="64">
        <v>174500</v>
      </c>
      <c r="D18" s="64">
        <v>38</v>
      </c>
      <c r="E18" s="72">
        <v>6631</v>
      </c>
      <c r="F18" s="97">
        <f t="shared" si="0"/>
        <v>180.46483779664706</v>
      </c>
    </row>
    <row r="19" spans="1:6" x14ac:dyDescent="0.2">
      <c r="A19" s="1" t="s">
        <v>20</v>
      </c>
      <c r="B19" s="64">
        <v>19000</v>
      </c>
      <c r="C19" s="64">
        <v>19000</v>
      </c>
      <c r="D19" s="64">
        <v>37</v>
      </c>
      <c r="E19" s="72">
        <v>703</v>
      </c>
      <c r="F19" s="97">
        <f t="shared" si="0"/>
        <v>19.132375353799262</v>
      </c>
    </row>
    <row r="20" spans="1:6" x14ac:dyDescent="0.2">
      <c r="A20" s="1" t="s">
        <v>21</v>
      </c>
      <c r="B20" s="64">
        <v>100000</v>
      </c>
      <c r="C20" s="64">
        <v>99800</v>
      </c>
      <c r="D20" s="64">
        <v>42</v>
      </c>
      <c r="E20" s="72">
        <v>4192</v>
      </c>
      <c r="F20" s="97">
        <f t="shared" si="0"/>
        <v>114.08665360330939</v>
      </c>
    </row>
    <row r="21" spans="1:6" x14ac:dyDescent="0.2">
      <c r="A21" s="1" t="s">
        <v>22</v>
      </c>
      <c r="B21" s="64">
        <v>70000</v>
      </c>
      <c r="C21" s="64">
        <v>69900</v>
      </c>
      <c r="D21" s="64">
        <v>34</v>
      </c>
      <c r="E21" s="72">
        <v>2377</v>
      </c>
      <c r="F21" s="97">
        <f t="shared" si="0"/>
        <v>64.690833877639889</v>
      </c>
    </row>
    <row r="22" spans="1:6" x14ac:dyDescent="0.2">
      <c r="A22" s="1" t="s">
        <v>23</v>
      </c>
      <c r="B22" s="64">
        <v>33000</v>
      </c>
      <c r="C22" s="64">
        <v>32900</v>
      </c>
      <c r="D22" s="64">
        <v>39</v>
      </c>
      <c r="E22" s="72">
        <v>1283</v>
      </c>
      <c r="F22" s="97">
        <f t="shared" si="0"/>
        <v>34.917265403875462</v>
      </c>
    </row>
    <row r="23" spans="1:6" x14ac:dyDescent="0.2">
      <c r="A23" s="1" t="s">
        <v>24</v>
      </c>
      <c r="B23" s="64">
        <v>75000</v>
      </c>
      <c r="C23" s="64">
        <v>74800</v>
      </c>
      <c r="D23" s="64">
        <v>35</v>
      </c>
      <c r="E23" s="72">
        <v>2618</v>
      </c>
      <c r="F23" s="97">
        <f t="shared" si="0"/>
        <v>71.249727846723275</v>
      </c>
    </row>
    <row r="24" spans="1:6" ht="15.75" x14ac:dyDescent="0.25">
      <c r="A24" s="10" t="s">
        <v>25</v>
      </c>
      <c r="B24" s="6">
        <v>628000</v>
      </c>
      <c r="C24" s="6">
        <v>626700</v>
      </c>
      <c r="D24" s="73">
        <v>36.848571884474232</v>
      </c>
      <c r="E24" s="56">
        <v>23093</v>
      </c>
      <c r="F24" s="83">
        <f>E24/36.744</f>
        <v>628.48356194208577</v>
      </c>
    </row>
    <row r="25" spans="1:6" x14ac:dyDescent="0.2">
      <c r="A25" s="1" t="s">
        <v>26</v>
      </c>
      <c r="B25" s="64">
        <v>58000</v>
      </c>
      <c r="C25" s="64">
        <v>58000</v>
      </c>
      <c r="D25" s="64">
        <v>33</v>
      </c>
      <c r="E25" s="72">
        <v>1914</v>
      </c>
      <c r="F25" s="97">
        <f t="shared" si="0"/>
        <v>52.09013716525147</v>
      </c>
    </row>
    <row r="26" spans="1:6" x14ac:dyDescent="0.2">
      <c r="A26" s="1" t="s">
        <v>27</v>
      </c>
      <c r="B26" s="58" t="s">
        <v>65</v>
      </c>
      <c r="C26" s="58" t="s">
        <v>65</v>
      </c>
      <c r="D26" s="58" t="s">
        <v>65</v>
      </c>
      <c r="E26" s="58" t="s">
        <v>65</v>
      </c>
      <c r="F26" s="58" t="s">
        <v>65</v>
      </c>
    </row>
    <row r="27" spans="1:6" x14ac:dyDescent="0.2">
      <c r="A27" s="1" t="s">
        <v>28</v>
      </c>
      <c r="B27" s="64">
        <v>12000</v>
      </c>
      <c r="C27" s="64">
        <v>12000</v>
      </c>
      <c r="D27" s="64">
        <v>36</v>
      </c>
      <c r="E27" s="72">
        <v>432</v>
      </c>
      <c r="F27" s="97">
        <f t="shared" si="0"/>
        <v>11.757021554539516</v>
      </c>
    </row>
    <row r="28" spans="1:6" x14ac:dyDescent="0.2">
      <c r="A28" s="1" t="s">
        <v>29</v>
      </c>
      <c r="B28" s="64">
        <v>45000</v>
      </c>
      <c r="C28" s="64">
        <v>45000</v>
      </c>
      <c r="D28" s="64">
        <v>34</v>
      </c>
      <c r="E28" s="72">
        <v>1530</v>
      </c>
      <c r="F28" s="97">
        <f t="shared" si="0"/>
        <v>41.639451338994121</v>
      </c>
    </row>
    <row r="29" spans="1:6" x14ac:dyDescent="0.2">
      <c r="A29" s="1" t="s">
        <v>30</v>
      </c>
      <c r="B29" s="58" t="s">
        <v>65</v>
      </c>
      <c r="C29" s="58" t="s">
        <v>65</v>
      </c>
      <c r="D29" s="58" t="s">
        <v>65</v>
      </c>
      <c r="E29" s="58" t="s">
        <v>65</v>
      </c>
      <c r="F29" s="58" t="s">
        <v>65</v>
      </c>
    </row>
    <row r="30" spans="1:6" x14ac:dyDescent="0.2">
      <c r="A30" s="1" t="s">
        <v>31</v>
      </c>
      <c r="B30" s="64">
        <v>24000</v>
      </c>
      <c r="C30" s="64">
        <v>24000</v>
      </c>
      <c r="D30" s="64">
        <v>33</v>
      </c>
      <c r="E30" s="72">
        <v>792</v>
      </c>
      <c r="F30" s="97">
        <f t="shared" si="0"/>
        <v>21.55453951665578</v>
      </c>
    </row>
    <row r="31" spans="1:6" x14ac:dyDescent="0.2">
      <c r="A31" s="1" t="s">
        <v>32</v>
      </c>
      <c r="B31" s="58" t="s">
        <v>65</v>
      </c>
      <c r="C31" s="58" t="s">
        <v>65</v>
      </c>
      <c r="D31" s="58" t="s">
        <v>65</v>
      </c>
      <c r="E31" s="58" t="s">
        <v>65</v>
      </c>
      <c r="F31" s="58" t="s">
        <v>65</v>
      </c>
    </row>
    <row r="32" spans="1:6" x14ac:dyDescent="0.2">
      <c r="A32" s="1" t="s">
        <v>33</v>
      </c>
      <c r="B32" s="64">
        <v>10000</v>
      </c>
      <c r="C32" s="64">
        <v>10000</v>
      </c>
      <c r="D32" s="64">
        <v>32</v>
      </c>
      <c r="E32" s="72">
        <v>320</v>
      </c>
      <c r="F32" s="97">
        <f t="shared" si="0"/>
        <v>8.7089048552144561</v>
      </c>
    </row>
    <row r="33" spans="1:6" x14ac:dyDescent="0.2">
      <c r="A33" s="1" t="s">
        <v>34</v>
      </c>
      <c r="B33" s="64">
        <v>23000</v>
      </c>
      <c r="C33" s="64">
        <v>23000</v>
      </c>
      <c r="D33" s="64">
        <v>33</v>
      </c>
      <c r="E33" s="72">
        <v>759</v>
      </c>
      <c r="F33" s="97">
        <f t="shared" si="0"/>
        <v>20.65643370346179</v>
      </c>
    </row>
    <row r="34" spans="1:6" x14ac:dyDescent="0.2">
      <c r="A34" s="1" t="s">
        <v>35</v>
      </c>
      <c r="B34" s="64">
        <v>29000</v>
      </c>
      <c r="C34" s="64">
        <v>29000</v>
      </c>
      <c r="D34" s="64">
        <v>32</v>
      </c>
      <c r="E34" s="72">
        <v>928</v>
      </c>
      <c r="F34" s="97">
        <f t="shared" si="0"/>
        <v>25.255824080121926</v>
      </c>
    </row>
    <row r="35" spans="1:6" ht="15.75" x14ac:dyDescent="0.25">
      <c r="A35" s="10" t="s">
        <v>36</v>
      </c>
      <c r="B35" s="6">
        <v>201000</v>
      </c>
      <c r="C35" s="6">
        <v>201000</v>
      </c>
      <c r="D35" s="73">
        <v>33.208955223880594</v>
      </c>
      <c r="E35" s="6">
        <v>6675</v>
      </c>
      <c r="F35" s="83">
        <f>E35/36.744</f>
        <v>181.66231221423905</v>
      </c>
    </row>
    <row r="36" spans="1:6" x14ac:dyDescent="0.2">
      <c r="A36" s="1" t="s">
        <v>37</v>
      </c>
      <c r="B36" s="64">
        <v>4000</v>
      </c>
      <c r="C36" s="64">
        <v>4000</v>
      </c>
      <c r="D36" s="64">
        <v>40</v>
      </c>
      <c r="E36" s="72">
        <v>160</v>
      </c>
      <c r="F36" s="97">
        <f t="shared" si="0"/>
        <v>4.3544524276072281</v>
      </c>
    </row>
    <row r="37" spans="1:6" x14ac:dyDescent="0.2">
      <c r="A37" s="1" t="s">
        <v>38</v>
      </c>
      <c r="B37" s="64">
        <v>9000</v>
      </c>
      <c r="C37" s="64">
        <v>9000</v>
      </c>
      <c r="D37" s="64">
        <v>39</v>
      </c>
      <c r="E37" s="72">
        <v>351</v>
      </c>
      <c r="F37" s="97">
        <f t="shared" si="0"/>
        <v>9.5525800130633574</v>
      </c>
    </row>
    <row r="38" spans="1:6" x14ac:dyDescent="0.2">
      <c r="A38" s="1" t="s">
        <v>39</v>
      </c>
      <c r="B38" s="64">
        <v>14000</v>
      </c>
      <c r="C38" s="64">
        <v>13900</v>
      </c>
      <c r="D38" s="64">
        <v>37</v>
      </c>
      <c r="E38" s="72">
        <v>514</v>
      </c>
      <c r="F38" s="97">
        <f t="shared" si="0"/>
        <v>13.988678423688221</v>
      </c>
    </row>
    <row r="39" spans="1:6" x14ac:dyDescent="0.2">
      <c r="A39" s="1" t="s">
        <v>40</v>
      </c>
      <c r="B39" s="64">
        <v>9000</v>
      </c>
      <c r="C39" s="64">
        <v>9000</v>
      </c>
      <c r="D39" s="64">
        <v>39</v>
      </c>
      <c r="E39" s="72">
        <v>351</v>
      </c>
      <c r="F39" s="97">
        <f t="shared" si="0"/>
        <v>9.5525800130633574</v>
      </c>
    </row>
    <row r="40" spans="1:6" x14ac:dyDescent="0.2">
      <c r="A40" s="1" t="s">
        <v>41</v>
      </c>
      <c r="B40" s="64">
        <v>35000</v>
      </c>
      <c r="C40" s="64">
        <v>34800</v>
      </c>
      <c r="D40" s="64">
        <v>40</v>
      </c>
      <c r="E40" s="72">
        <v>1392</v>
      </c>
      <c r="F40" s="97">
        <f t="shared" si="0"/>
        <v>37.883736120182888</v>
      </c>
    </row>
    <row r="41" spans="1:6" x14ac:dyDescent="0.2">
      <c r="A41" s="1" t="s">
        <v>42</v>
      </c>
      <c r="B41" s="64">
        <v>72000</v>
      </c>
      <c r="C41" s="64">
        <v>71600</v>
      </c>
      <c r="D41" s="64">
        <v>34</v>
      </c>
      <c r="E41" s="72">
        <v>2434</v>
      </c>
      <c r="F41" s="97">
        <f t="shared" si="0"/>
        <v>66.242107554974965</v>
      </c>
    </row>
    <row r="42" spans="1:6" x14ac:dyDescent="0.2">
      <c r="A42" s="1" t="s">
        <v>43</v>
      </c>
      <c r="B42" s="64">
        <v>13000</v>
      </c>
      <c r="C42" s="64">
        <v>12900</v>
      </c>
      <c r="D42" s="64">
        <v>34</v>
      </c>
      <c r="E42" s="72">
        <v>439</v>
      </c>
      <c r="F42" s="97">
        <f t="shared" si="0"/>
        <v>11.947528848247334</v>
      </c>
    </row>
    <row r="43" spans="1:6" x14ac:dyDescent="0.2">
      <c r="A43" s="1" t="s">
        <v>44</v>
      </c>
      <c r="B43" s="64">
        <v>95000</v>
      </c>
      <c r="C43" s="64">
        <v>94500</v>
      </c>
      <c r="D43" s="64">
        <v>42</v>
      </c>
      <c r="E43" s="72">
        <v>3969</v>
      </c>
      <c r="F43" s="97">
        <f t="shared" si="0"/>
        <v>108.01763553233181</v>
      </c>
    </row>
    <row r="44" spans="1:6" ht="15.75" x14ac:dyDescent="0.25">
      <c r="A44" s="10" t="s">
        <v>45</v>
      </c>
      <c r="B44" s="6">
        <v>251000</v>
      </c>
      <c r="C44" s="6">
        <v>249700</v>
      </c>
      <c r="D44" s="73">
        <v>38.486183420104126</v>
      </c>
      <c r="E44" s="6">
        <v>9610</v>
      </c>
      <c r="F44" s="83">
        <f>E44/36.744</f>
        <v>261.53929893315916</v>
      </c>
    </row>
    <row r="45" spans="1:6" x14ac:dyDescent="0.2">
      <c r="A45" s="1" t="s">
        <v>46</v>
      </c>
      <c r="B45" s="58" t="s">
        <v>65</v>
      </c>
      <c r="C45" s="58" t="s">
        <v>65</v>
      </c>
      <c r="D45" s="58" t="s">
        <v>65</v>
      </c>
      <c r="E45" s="58" t="s">
        <v>65</v>
      </c>
      <c r="F45" s="58" t="s">
        <v>65</v>
      </c>
    </row>
    <row r="46" spans="1:6" x14ac:dyDescent="0.2">
      <c r="A46" s="1" t="s">
        <v>47</v>
      </c>
      <c r="B46" s="58" t="s">
        <v>65</v>
      </c>
      <c r="C46" s="58" t="s">
        <v>65</v>
      </c>
      <c r="D46" s="58" t="s">
        <v>65</v>
      </c>
      <c r="E46" s="58" t="s">
        <v>65</v>
      </c>
      <c r="F46" s="58" t="s">
        <v>65</v>
      </c>
    </row>
    <row r="47" spans="1:6" x14ac:dyDescent="0.2">
      <c r="A47" s="100" t="s">
        <v>48</v>
      </c>
      <c r="B47" s="58" t="s">
        <v>65</v>
      </c>
      <c r="C47" s="58" t="s">
        <v>65</v>
      </c>
      <c r="D47" s="58" t="s">
        <v>65</v>
      </c>
      <c r="E47" s="58" t="s">
        <v>65</v>
      </c>
      <c r="F47" s="58" t="s">
        <v>65</v>
      </c>
    </row>
    <row r="48" spans="1:6" x14ac:dyDescent="0.2">
      <c r="A48" s="1" t="s">
        <v>49</v>
      </c>
      <c r="B48" s="58" t="s">
        <v>65</v>
      </c>
      <c r="C48" s="58" t="s">
        <v>65</v>
      </c>
      <c r="D48" s="58" t="s">
        <v>65</v>
      </c>
      <c r="E48" s="58" t="s">
        <v>65</v>
      </c>
      <c r="F48" s="58" t="s">
        <v>65</v>
      </c>
    </row>
    <row r="49" spans="1:6" x14ac:dyDescent="0.2">
      <c r="A49" s="1" t="s">
        <v>50</v>
      </c>
      <c r="B49" s="58" t="s">
        <v>65</v>
      </c>
      <c r="C49" s="58" t="s">
        <v>65</v>
      </c>
      <c r="D49" s="58" t="s">
        <v>65</v>
      </c>
      <c r="E49" s="58" t="s">
        <v>65</v>
      </c>
      <c r="F49" s="58" t="s">
        <v>65</v>
      </c>
    </row>
    <row r="50" spans="1:6" x14ac:dyDescent="0.2">
      <c r="A50" s="1" t="s">
        <v>51</v>
      </c>
      <c r="B50" s="58" t="s">
        <v>65</v>
      </c>
      <c r="C50" s="58" t="s">
        <v>65</v>
      </c>
      <c r="D50" s="58" t="s">
        <v>65</v>
      </c>
      <c r="E50" s="58" t="s">
        <v>65</v>
      </c>
      <c r="F50" s="58" t="s">
        <v>65</v>
      </c>
    </row>
    <row r="51" spans="1:6" x14ac:dyDescent="0.2">
      <c r="A51" s="1" t="s">
        <v>52</v>
      </c>
      <c r="B51" s="58" t="s">
        <v>65</v>
      </c>
      <c r="C51" s="58" t="s">
        <v>65</v>
      </c>
      <c r="D51" s="58" t="s">
        <v>65</v>
      </c>
      <c r="E51" s="58" t="s">
        <v>65</v>
      </c>
      <c r="F51" s="58" t="s">
        <v>65</v>
      </c>
    </row>
    <row r="52" spans="1:6" x14ac:dyDescent="0.2">
      <c r="A52" s="1" t="s">
        <v>53</v>
      </c>
      <c r="B52" s="58" t="s">
        <v>65</v>
      </c>
      <c r="C52" s="58" t="s">
        <v>65</v>
      </c>
      <c r="D52" s="58" t="s">
        <v>65</v>
      </c>
      <c r="E52" s="58" t="s">
        <v>65</v>
      </c>
      <c r="F52" s="58" t="s">
        <v>65</v>
      </c>
    </row>
    <row r="53" spans="1:6" x14ac:dyDescent="0.2">
      <c r="A53" s="1" t="s">
        <v>54</v>
      </c>
      <c r="B53" s="58" t="s">
        <v>65</v>
      </c>
      <c r="C53" s="58" t="s">
        <v>65</v>
      </c>
      <c r="D53" s="58" t="s">
        <v>65</v>
      </c>
      <c r="E53" s="58" t="s">
        <v>65</v>
      </c>
      <c r="F53" s="58" t="s">
        <v>65</v>
      </c>
    </row>
    <row r="54" spans="1:6" x14ac:dyDescent="0.2">
      <c r="A54" s="1" t="s">
        <v>55</v>
      </c>
      <c r="B54" s="58" t="s">
        <v>65</v>
      </c>
      <c r="C54" s="58" t="s">
        <v>65</v>
      </c>
      <c r="D54" s="58" t="s">
        <v>65</v>
      </c>
      <c r="E54" s="58" t="s">
        <v>65</v>
      </c>
      <c r="F54" s="58" t="s">
        <v>65</v>
      </c>
    </row>
    <row r="55" spans="1:6" ht="15.75" x14ac:dyDescent="0.25">
      <c r="A55" s="10" t="s">
        <v>56</v>
      </c>
      <c r="B55" s="6">
        <v>5000</v>
      </c>
      <c r="C55" s="6">
        <v>5000</v>
      </c>
      <c r="D55" s="73">
        <v>26</v>
      </c>
      <c r="E55" s="56">
        <v>130</v>
      </c>
      <c r="F55" s="83">
        <f>E55/36.744</f>
        <v>3.5379925974308732</v>
      </c>
    </row>
    <row r="56" spans="1:6" ht="15.75" x14ac:dyDescent="0.25">
      <c r="A56" s="5" t="s">
        <v>0</v>
      </c>
      <c r="B56" s="6">
        <v>2400000</v>
      </c>
      <c r="C56" s="6">
        <v>2395000</v>
      </c>
      <c r="D56" s="73">
        <v>40.187891440501041</v>
      </c>
      <c r="E56" s="6">
        <v>96250</v>
      </c>
      <c r="F56" s="83">
        <f>E56/36.744</f>
        <v>2619.4752884824734</v>
      </c>
    </row>
    <row r="57" spans="1:6" x14ac:dyDescent="0.2">
      <c r="A57" s="8"/>
      <c r="B57" s="8"/>
      <c r="C57" s="64"/>
      <c r="D57" s="8"/>
      <c r="E57" s="8"/>
      <c r="F57" s="8"/>
    </row>
    <row r="58" spans="1:6" x14ac:dyDescent="0.2">
      <c r="A58" t="s">
        <v>58</v>
      </c>
      <c r="B58" s="69"/>
      <c r="C58" s="69"/>
      <c r="D58" s="103"/>
      <c r="E58" s="69"/>
      <c r="F58" s="70"/>
    </row>
    <row r="59" spans="1:6" x14ac:dyDescent="0.2">
      <c r="A59"/>
      <c r="B59" s="3"/>
      <c r="C59" s="3"/>
      <c r="D59" s="4"/>
      <c r="E59" s="3"/>
      <c r="F59" s="68"/>
    </row>
    <row r="60" spans="1:6" ht="15.75" x14ac:dyDescent="0.25">
      <c r="A60" s="104" t="s">
        <v>92</v>
      </c>
      <c r="B60" s="3"/>
      <c r="C60" s="3"/>
      <c r="D60" s="4"/>
      <c r="E60" s="3"/>
      <c r="F60" s="68"/>
    </row>
    <row r="61" spans="1:6" x14ac:dyDescent="0.2">
      <c r="A61" s="2"/>
      <c r="B61" s="3"/>
      <c r="C61" s="3"/>
      <c r="D61" s="4"/>
      <c r="E61" s="3"/>
      <c r="F61" s="68"/>
    </row>
    <row r="62" spans="1:6" x14ac:dyDescent="0.2">
      <c r="A62" s="2"/>
      <c r="B62" s="3"/>
      <c r="C62" s="3"/>
      <c r="D62" s="4"/>
      <c r="E62" s="3"/>
      <c r="F62" s="68"/>
    </row>
    <row r="63" spans="1:6" x14ac:dyDescent="0.2">
      <c r="A63" s="2"/>
      <c r="B63" s="3"/>
      <c r="C63" s="3"/>
      <c r="D63" s="4"/>
      <c r="E63" s="3"/>
      <c r="F63" s="68"/>
    </row>
    <row r="64" spans="1:6" x14ac:dyDescent="0.2">
      <c r="A64" s="2"/>
      <c r="B64" s="3"/>
      <c r="C64" s="3"/>
      <c r="D64" s="4"/>
      <c r="E64" s="3"/>
      <c r="F64" s="68"/>
    </row>
    <row r="65" spans="1:6" x14ac:dyDescent="0.2">
      <c r="A65" s="2"/>
      <c r="B65" s="3"/>
      <c r="C65" s="3"/>
      <c r="D65" s="4"/>
      <c r="E65" s="3"/>
      <c r="F65" s="68"/>
    </row>
    <row r="66" spans="1:6" x14ac:dyDescent="0.2">
      <c r="A66" s="2"/>
      <c r="B66" s="3"/>
      <c r="C66" s="3"/>
      <c r="D66" s="4"/>
      <c r="E66" s="3"/>
      <c r="F66" s="68"/>
    </row>
    <row r="67" spans="1:6" x14ac:dyDescent="0.2">
      <c r="A67" s="2"/>
      <c r="B67" s="3"/>
      <c r="C67" s="3"/>
      <c r="D67" s="4"/>
      <c r="E67" s="3"/>
      <c r="F67" s="68"/>
    </row>
    <row r="68" spans="1:6" x14ac:dyDescent="0.2">
      <c r="A68" s="2"/>
      <c r="B68" s="3"/>
      <c r="C68" s="3"/>
      <c r="D68" s="4"/>
      <c r="E68" s="3"/>
      <c r="F68" s="68"/>
    </row>
    <row r="69" spans="1:6" x14ac:dyDescent="0.2">
      <c r="A69" s="2"/>
      <c r="B69" s="3"/>
      <c r="C69" s="3"/>
      <c r="D69" s="4"/>
      <c r="E69" s="3"/>
      <c r="F69" s="68"/>
    </row>
    <row r="70" spans="1:6" x14ac:dyDescent="0.2">
      <c r="A70" s="2"/>
      <c r="B70" s="3"/>
      <c r="C70" s="3"/>
      <c r="D70" s="4"/>
      <c r="E70" s="3"/>
      <c r="F70" s="68"/>
    </row>
    <row r="71" spans="1:6" x14ac:dyDescent="0.2">
      <c r="A71" s="2"/>
      <c r="B71" s="3"/>
      <c r="C71" s="3"/>
      <c r="D71" s="4"/>
      <c r="E71" s="3"/>
      <c r="F71" s="68"/>
    </row>
    <row r="72" spans="1:6" x14ac:dyDescent="0.2">
      <c r="A72" s="2"/>
      <c r="B72" s="2"/>
      <c r="C72" s="2"/>
      <c r="D72" s="2"/>
      <c r="E72" s="2"/>
      <c r="F72" s="2"/>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row>
    <row r="83" spans="1:6" x14ac:dyDescent="0.2">
      <c r="A83" s="2"/>
    </row>
    <row r="84" spans="1:6" x14ac:dyDescent="0.2">
      <c r="A84" s="2"/>
    </row>
    <row r="85" spans="1:6" x14ac:dyDescent="0.2">
      <c r="A85" s="2"/>
    </row>
    <row r="86" spans="1:6" x14ac:dyDescent="0.2">
      <c r="A86" s="2"/>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737E-BDA9-4785-8D37-FE45B13C2EDD}">
  <dimension ref="A1:F86"/>
  <sheetViews>
    <sheetView workbookViewId="0">
      <selection sqref="A1:F1"/>
    </sheetView>
  </sheetViews>
  <sheetFormatPr defaultRowHeight="15" x14ac:dyDescent="0.2"/>
  <cols>
    <col min="1" max="1" width="34.5546875" style="1" customWidth="1"/>
    <col min="2" max="2" width="13.77734375" style="1" customWidth="1"/>
    <col min="3" max="3" width="13.109375" style="1" customWidth="1"/>
    <col min="4" max="4" width="15.33203125" style="1" customWidth="1"/>
    <col min="5" max="5" width="14.6640625" style="1" customWidth="1"/>
    <col min="6" max="6" width="14.33203125" style="1" customWidth="1"/>
  </cols>
  <sheetData>
    <row r="1" spans="1:6" ht="16.5" thickBot="1" x14ac:dyDescent="0.3">
      <c r="A1" s="137" t="s">
        <v>93</v>
      </c>
      <c r="B1" s="138"/>
      <c r="C1" s="138"/>
      <c r="D1" s="138"/>
      <c r="E1" s="138"/>
      <c r="F1" s="138"/>
    </row>
    <row r="2" spans="1:6" ht="30.75" thickBot="1" x14ac:dyDescent="0.3">
      <c r="A2" s="91"/>
      <c r="B2" s="92" t="s">
        <v>59</v>
      </c>
      <c r="C2" s="92" t="s">
        <v>57</v>
      </c>
      <c r="D2" s="94" t="s">
        <v>3</v>
      </c>
      <c r="E2" s="94" t="s">
        <v>1</v>
      </c>
      <c r="F2" s="94" t="s">
        <v>2</v>
      </c>
    </row>
    <row r="3" spans="1:6" x14ac:dyDescent="0.2">
      <c r="A3" s="1" t="s">
        <v>4</v>
      </c>
      <c r="B3" s="99">
        <v>32000</v>
      </c>
      <c r="C3" s="72">
        <v>31900</v>
      </c>
      <c r="D3" s="72">
        <v>47</v>
      </c>
      <c r="E3" s="72">
        <v>1499.3</v>
      </c>
      <c r="F3" s="97">
        <v>40.803940779446982</v>
      </c>
    </row>
    <row r="4" spans="1:6" x14ac:dyDescent="0.2">
      <c r="A4" s="1" t="s">
        <v>5</v>
      </c>
      <c r="B4" s="99">
        <v>172000</v>
      </c>
      <c r="C4" s="72">
        <v>171700</v>
      </c>
      <c r="D4" s="72">
        <v>43</v>
      </c>
      <c r="E4" s="72">
        <v>7383.1</v>
      </c>
      <c r="F4" s="97">
        <v>200.9334857391683</v>
      </c>
    </row>
    <row r="5" spans="1:6" x14ac:dyDescent="0.2">
      <c r="A5" s="1" t="s">
        <v>6</v>
      </c>
      <c r="B5" s="99">
        <v>82000</v>
      </c>
      <c r="C5" s="72">
        <v>81900</v>
      </c>
      <c r="D5" s="72">
        <v>44</v>
      </c>
      <c r="E5" s="72">
        <v>3603.6</v>
      </c>
      <c r="F5" s="97">
        <v>98.073154800783797</v>
      </c>
    </row>
    <row r="6" spans="1:6" x14ac:dyDescent="0.2">
      <c r="A6" s="1" t="s">
        <v>7</v>
      </c>
      <c r="B6" s="99">
        <v>179000</v>
      </c>
      <c r="C6" s="72">
        <v>178700</v>
      </c>
      <c r="D6" s="72">
        <v>35</v>
      </c>
      <c r="E6" s="72">
        <v>6254.5</v>
      </c>
      <c r="F6" s="97">
        <v>170.21826692793383</v>
      </c>
    </row>
    <row r="7" spans="1:6" x14ac:dyDescent="0.2">
      <c r="A7" s="1" t="s">
        <v>8</v>
      </c>
      <c r="B7" s="99">
        <v>145000</v>
      </c>
      <c r="C7" s="72">
        <v>144800</v>
      </c>
      <c r="D7" s="72">
        <v>43</v>
      </c>
      <c r="E7" s="72">
        <v>6226.4</v>
      </c>
      <c r="F7" s="97">
        <v>169.45351622033527</v>
      </c>
    </row>
    <row r="8" spans="1:6" x14ac:dyDescent="0.2">
      <c r="A8" s="1" t="s">
        <v>9</v>
      </c>
      <c r="B8" s="99">
        <v>38000</v>
      </c>
      <c r="C8" s="72">
        <v>37900</v>
      </c>
      <c r="D8" s="72">
        <v>45</v>
      </c>
      <c r="E8" s="72">
        <v>1705.5</v>
      </c>
      <c r="F8" s="97">
        <v>46.415741345525802</v>
      </c>
    </row>
    <row r="9" spans="1:6" x14ac:dyDescent="0.2">
      <c r="A9" s="1" t="s">
        <v>10</v>
      </c>
      <c r="B9" s="99">
        <v>243000</v>
      </c>
      <c r="C9" s="72">
        <v>242500</v>
      </c>
      <c r="D9" s="72">
        <v>44.2</v>
      </c>
      <c r="E9" s="72">
        <v>10718.5</v>
      </c>
      <c r="F9" s="97">
        <v>291.70748965817546</v>
      </c>
    </row>
    <row r="10" spans="1:6" x14ac:dyDescent="0.2">
      <c r="A10" s="1" t="s">
        <v>11</v>
      </c>
      <c r="B10" s="99">
        <v>152000</v>
      </c>
      <c r="C10" s="72">
        <v>151700</v>
      </c>
      <c r="D10" s="72">
        <v>49</v>
      </c>
      <c r="E10" s="72">
        <v>7433.3</v>
      </c>
      <c r="F10" s="97">
        <v>202.29969518833008</v>
      </c>
    </row>
    <row r="11" spans="1:6" x14ac:dyDescent="0.2">
      <c r="A11" s="1" t="s">
        <v>12</v>
      </c>
      <c r="B11" s="99">
        <v>51000</v>
      </c>
      <c r="C11" s="72">
        <v>50900</v>
      </c>
      <c r="D11" s="72">
        <v>47</v>
      </c>
      <c r="E11" s="72">
        <v>2392.3000000000002</v>
      </c>
      <c r="F11" s="97">
        <v>65.107228391029835</v>
      </c>
    </row>
    <row r="12" spans="1:6" x14ac:dyDescent="0.2">
      <c r="A12" s="1" t="s">
        <v>13</v>
      </c>
      <c r="B12" s="99">
        <v>67000</v>
      </c>
      <c r="C12" s="72">
        <v>66900</v>
      </c>
      <c r="D12" s="72">
        <v>49</v>
      </c>
      <c r="E12" s="72">
        <v>3278.1</v>
      </c>
      <c r="F12" s="97">
        <v>89.214565643370349</v>
      </c>
    </row>
    <row r="13" spans="1:6" ht="15.75" x14ac:dyDescent="0.25">
      <c r="A13" s="10" t="s">
        <v>14</v>
      </c>
      <c r="B13" s="56">
        <v>1161000</v>
      </c>
      <c r="C13" s="56">
        <v>1158900</v>
      </c>
      <c r="D13" s="83">
        <v>43.571145051341794</v>
      </c>
      <c r="E13" s="56">
        <v>50494.600000000006</v>
      </c>
      <c r="F13" s="83">
        <v>1374.2270846940999</v>
      </c>
    </row>
    <row r="14" spans="1:6" x14ac:dyDescent="0.2">
      <c r="A14" s="1" t="s">
        <v>15</v>
      </c>
      <c r="B14" s="99">
        <v>72000</v>
      </c>
      <c r="C14" s="72">
        <v>71900</v>
      </c>
      <c r="D14" s="72">
        <v>42.1</v>
      </c>
      <c r="E14" s="72">
        <v>3026.99</v>
      </c>
      <c r="F14" s="97">
        <v>82.380524711517523</v>
      </c>
    </row>
    <row r="15" spans="1:6" x14ac:dyDescent="0.2">
      <c r="A15" s="1" t="s">
        <v>16</v>
      </c>
      <c r="B15" s="99">
        <v>10500</v>
      </c>
      <c r="C15" s="72">
        <v>10500</v>
      </c>
      <c r="D15" s="72">
        <v>41</v>
      </c>
      <c r="E15" s="72">
        <v>430.5</v>
      </c>
      <c r="F15" s="97">
        <v>11.7161985630307</v>
      </c>
    </row>
    <row r="16" spans="1:6" x14ac:dyDescent="0.2">
      <c r="A16" s="1" t="s">
        <v>17</v>
      </c>
      <c r="B16" s="99">
        <v>16000</v>
      </c>
      <c r="C16" s="72">
        <v>16000</v>
      </c>
      <c r="D16" s="72">
        <v>40</v>
      </c>
      <c r="E16" s="72">
        <v>640</v>
      </c>
      <c r="F16" s="97">
        <v>17.417809710428912</v>
      </c>
    </row>
    <row r="17" spans="1:6" x14ac:dyDescent="0.2">
      <c r="A17" s="1" t="s">
        <v>18</v>
      </c>
      <c r="B17" s="99">
        <v>21000</v>
      </c>
      <c r="C17" s="72">
        <v>21000</v>
      </c>
      <c r="D17" s="72">
        <v>42</v>
      </c>
      <c r="E17" s="72">
        <v>882</v>
      </c>
      <c r="F17" s="97">
        <v>24.003919007184848</v>
      </c>
    </row>
    <row r="18" spans="1:6" x14ac:dyDescent="0.2">
      <c r="A18" s="1" t="s">
        <v>19</v>
      </c>
      <c r="B18" s="99">
        <v>132000</v>
      </c>
      <c r="C18" s="72">
        <v>131800</v>
      </c>
      <c r="D18" s="72">
        <v>48.2</v>
      </c>
      <c r="E18" s="72">
        <v>6352.76</v>
      </c>
      <c r="F18" s="97">
        <v>172.89244502503811</v>
      </c>
    </row>
    <row r="19" spans="1:6" x14ac:dyDescent="0.2">
      <c r="A19" s="1" t="s">
        <v>20</v>
      </c>
      <c r="B19" s="99">
        <v>22000</v>
      </c>
      <c r="C19" s="72">
        <v>22000</v>
      </c>
      <c r="D19" s="72">
        <v>45</v>
      </c>
      <c r="E19" s="72">
        <v>990</v>
      </c>
      <c r="F19" s="97">
        <v>26.943174395819725</v>
      </c>
    </row>
    <row r="20" spans="1:6" x14ac:dyDescent="0.2">
      <c r="A20" s="1" t="s">
        <v>21</v>
      </c>
      <c r="B20" s="99">
        <v>91000</v>
      </c>
      <c r="C20" s="72">
        <v>90900</v>
      </c>
      <c r="D20" s="72">
        <v>48.9</v>
      </c>
      <c r="E20" s="72">
        <v>4445.01</v>
      </c>
      <c r="F20" s="97">
        <v>120.97240365774005</v>
      </c>
    </row>
    <row r="21" spans="1:6" x14ac:dyDescent="0.2">
      <c r="A21" s="1" t="s">
        <v>22</v>
      </c>
      <c r="B21" s="99">
        <v>74000</v>
      </c>
      <c r="C21" s="72">
        <v>73900</v>
      </c>
      <c r="D21" s="72">
        <v>44</v>
      </c>
      <c r="E21" s="72">
        <v>3251.6</v>
      </c>
      <c r="F21" s="97">
        <v>88.493359460047898</v>
      </c>
    </row>
    <row r="22" spans="1:6" x14ac:dyDescent="0.2">
      <c r="A22" s="1" t="s">
        <v>23</v>
      </c>
      <c r="B22" s="99">
        <v>15500</v>
      </c>
      <c r="C22" s="72">
        <v>15500</v>
      </c>
      <c r="D22" s="72">
        <v>48</v>
      </c>
      <c r="E22" s="72">
        <v>744</v>
      </c>
      <c r="F22" s="97">
        <v>20.248203788373612</v>
      </c>
    </row>
    <row r="23" spans="1:6" x14ac:dyDescent="0.2">
      <c r="A23" s="1" t="s">
        <v>24</v>
      </c>
      <c r="B23" s="99">
        <v>81000</v>
      </c>
      <c r="C23" s="72">
        <v>80900</v>
      </c>
      <c r="D23" s="72">
        <v>44</v>
      </c>
      <c r="E23" s="72">
        <v>3559.6</v>
      </c>
      <c r="F23" s="97">
        <v>96.875680383191806</v>
      </c>
    </row>
    <row r="24" spans="1:6" ht="15.75" x14ac:dyDescent="0.25">
      <c r="A24" s="10" t="s">
        <v>25</v>
      </c>
      <c r="B24" s="56">
        <v>535000</v>
      </c>
      <c r="C24" s="56">
        <v>534400</v>
      </c>
      <c r="D24" s="83">
        <v>45.513585329341318</v>
      </c>
      <c r="E24" s="56">
        <v>24322.46</v>
      </c>
      <c r="F24" s="83">
        <v>661.94371870237319</v>
      </c>
    </row>
    <row r="25" spans="1:6" x14ac:dyDescent="0.2">
      <c r="A25" s="1" t="s">
        <v>26</v>
      </c>
      <c r="B25" s="99">
        <v>41000</v>
      </c>
      <c r="C25" s="72">
        <v>40800</v>
      </c>
      <c r="D25" s="72">
        <v>40</v>
      </c>
      <c r="E25" s="72">
        <v>1632</v>
      </c>
      <c r="F25" s="97">
        <v>44.41541476159373</v>
      </c>
    </row>
    <row r="26" spans="1:6" x14ac:dyDescent="0.2">
      <c r="A26" s="1" t="s">
        <v>27</v>
      </c>
      <c r="B26" s="99" t="s">
        <v>65</v>
      </c>
      <c r="C26" s="99" t="s">
        <v>65</v>
      </c>
      <c r="D26" s="99" t="s">
        <v>65</v>
      </c>
      <c r="E26" s="99" t="s">
        <v>65</v>
      </c>
      <c r="F26" s="58" t="s">
        <v>65</v>
      </c>
    </row>
    <row r="27" spans="1:6" x14ac:dyDescent="0.2">
      <c r="A27" s="1" t="s">
        <v>28</v>
      </c>
      <c r="B27" s="99">
        <v>7500</v>
      </c>
      <c r="C27" s="72">
        <v>7500</v>
      </c>
      <c r="D27" s="72">
        <v>40.9</v>
      </c>
      <c r="E27" s="72">
        <v>306.75</v>
      </c>
      <c r="F27" s="97">
        <v>8.3483017635532324</v>
      </c>
    </row>
    <row r="28" spans="1:6" x14ac:dyDescent="0.2">
      <c r="A28" s="1" t="s">
        <v>29</v>
      </c>
      <c r="B28" s="99">
        <v>31000</v>
      </c>
      <c r="C28" s="72">
        <v>30900</v>
      </c>
      <c r="D28" s="72">
        <v>38</v>
      </c>
      <c r="E28" s="72">
        <v>1174.2</v>
      </c>
      <c r="F28" s="97">
        <v>31.956237753102549</v>
      </c>
    </row>
    <row r="29" spans="1:6" x14ac:dyDescent="0.2">
      <c r="A29" s="1" t="s">
        <v>30</v>
      </c>
      <c r="B29" s="99" t="s">
        <v>65</v>
      </c>
      <c r="C29" s="99" t="s">
        <v>65</v>
      </c>
      <c r="D29" s="99" t="s">
        <v>65</v>
      </c>
      <c r="E29" s="99" t="s">
        <v>65</v>
      </c>
      <c r="F29" s="58" t="s">
        <v>65</v>
      </c>
    </row>
    <row r="30" spans="1:6" x14ac:dyDescent="0.2">
      <c r="A30" s="1" t="s">
        <v>31</v>
      </c>
      <c r="B30" s="99">
        <v>24000</v>
      </c>
      <c r="C30" s="72">
        <v>23900</v>
      </c>
      <c r="D30" s="72">
        <v>41</v>
      </c>
      <c r="E30" s="72">
        <v>979.9</v>
      </c>
      <c r="F30" s="97">
        <v>26.66829958632702</v>
      </c>
    </row>
    <row r="31" spans="1:6" x14ac:dyDescent="0.2">
      <c r="A31" s="1" t="s">
        <v>32</v>
      </c>
      <c r="B31" s="99" t="s">
        <v>65</v>
      </c>
      <c r="C31" s="99" t="s">
        <v>65</v>
      </c>
      <c r="D31" s="99" t="s">
        <v>65</v>
      </c>
      <c r="E31" s="99" t="s">
        <v>65</v>
      </c>
      <c r="F31" s="58" t="s">
        <v>65</v>
      </c>
    </row>
    <row r="32" spans="1:6" x14ac:dyDescent="0.2">
      <c r="A32" s="1" t="s">
        <v>33</v>
      </c>
      <c r="B32" s="99">
        <v>8000</v>
      </c>
      <c r="C32" s="72">
        <v>8000</v>
      </c>
      <c r="D32" s="72">
        <v>35</v>
      </c>
      <c r="E32" s="72">
        <v>280</v>
      </c>
      <c r="F32" s="97">
        <v>7.62029174831265</v>
      </c>
    </row>
    <row r="33" spans="1:6" x14ac:dyDescent="0.2">
      <c r="A33" s="1" t="s">
        <v>34</v>
      </c>
      <c r="B33" s="99">
        <v>13000</v>
      </c>
      <c r="C33" s="72">
        <v>12900</v>
      </c>
      <c r="D33" s="72">
        <v>46</v>
      </c>
      <c r="E33" s="72">
        <v>593.4</v>
      </c>
      <c r="F33" s="97">
        <v>16.149575440888309</v>
      </c>
    </row>
    <row r="34" spans="1:6" x14ac:dyDescent="0.2">
      <c r="A34" s="1" t="s">
        <v>35</v>
      </c>
      <c r="B34" s="99">
        <v>30000</v>
      </c>
      <c r="C34" s="72">
        <v>29900</v>
      </c>
      <c r="D34" s="72">
        <v>39</v>
      </c>
      <c r="E34" s="72">
        <v>1166.0999999999999</v>
      </c>
      <c r="F34" s="97">
        <v>31.735793598954928</v>
      </c>
    </row>
    <row r="35" spans="1:6" ht="15.75" x14ac:dyDescent="0.25">
      <c r="A35" s="10" t="s">
        <v>36</v>
      </c>
      <c r="B35" s="56">
        <v>154500</v>
      </c>
      <c r="C35" s="56">
        <v>153900</v>
      </c>
      <c r="D35" s="83">
        <v>39.846328784925277</v>
      </c>
      <c r="E35" s="6">
        <v>6132.35</v>
      </c>
      <c r="F35" s="83">
        <v>166.89391465273243</v>
      </c>
    </row>
    <row r="36" spans="1:6" x14ac:dyDescent="0.2">
      <c r="A36" s="1" t="s">
        <v>37</v>
      </c>
      <c r="B36" s="99">
        <v>3500</v>
      </c>
      <c r="C36" s="72">
        <v>3500</v>
      </c>
      <c r="D36" s="72">
        <v>45</v>
      </c>
      <c r="E36" s="72">
        <v>157.5</v>
      </c>
      <c r="F36" s="97">
        <v>4.2864141084258653</v>
      </c>
    </row>
    <row r="37" spans="1:6" x14ac:dyDescent="0.2">
      <c r="A37" s="1" t="s">
        <v>38</v>
      </c>
      <c r="B37" s="99">
        <v>9000</v>
      </c>
      <c r="C37" s="72">
        <v>8900</v>
      </c>
      <c r="D37" s="72">
        <v>43</v>
      </c>
      <c r="E37" s="72">
        <v>382.7</v>
      </c>
      <c r="F37" s="97">
        <v>10.415305900283039</v>
      </c>
    </row>
    <row r="38" spans="1:6" x14ac:dyDescent="0.2">
      <c r="A38" s="1" t="s">
        <v>39</v>
      </c>
      <c r="B38" s="99">
        <v>16000</v>
      </c>
      <c r="C38" s="72">
        <v>15900</v>
      </c>
      <c r="D38" s="72">
        <v>43</v>
      </c>
      <c r="E38" s="72">
        <v>683.7</v>
      </c>
      <c r="F38" s="97">
        <v>18.607119529719139</v>
      </c>
    </row>
    <row r="39" spans="1:6" x14ac:dyDescent="0.2">
      <c r="A39" s="1" t="s">
        <v>40</v>
      </c>
      <c r="B39" s="99">
        <v>5000</v>
      </c>
      <c r="C39" s="72">
        <v>5000</v>
      </c>
      <c r="D39" s="72">
        <v>44</v>
      </c>
      <c r="E39" s="72">
        <v>220</v>
      </c>
      <c r="F39" s="97">
        <v>5.9873720879599395</v>
      </c>
    </row>
    <row r="40" spans="1:6" x14ac:dyDescent="0.2">
      <c r="A40" s="1" t="s">
        <v>41</v>
      </c>
      <c r="B40" s="99">
        <v>52000</v>
      </c>
      <c r="C40" s="72">
        <v>51600</v>
      </c>
      <c r="D40" s="72">
        <v>43</v>
      </c>
      <c r="E40" s="72">
        <v>2218.8000000000002</v>
      </c>
      <c r="F40" s="97">
        <v>60.385369039843248</v>
      </c>
    </row>
    <row r="41" spans="1:6" x14ac:dyDescent="0.2">
      <c r="A41" s="1" t="s">
        <v>42</v>
      </c>
      <c r="B41" s="99">
        <v>74000</v>
      </c>
      <c r="C41" s="72">
        <v>73500</v>
      </c>
      <c r="D41" s="72">
        <v>36</v>
      </c>
      <c r="E41" s="72">
        <v>2646</v>
      </c>
      <c r="F41" s="97">
        <v>72.011757021554544</v>
      </c>
    </row>
    <row r="42" spans="1:6" x14ac:dyDescent="0.2">
      <c r="A42" s="1" t="s">
        <v>43</v>
      </c>
      <c r="B42" s="99">
        <v>8000</v>
      </c>
      <c r="C42" s="72">
        <v>7900</v>
      </c>
      <c r="D42" s="72">
        <v>42</v>
      </c>
      <c r="E42" s="72">
        <v>331.8</v>
      </c>
      <c r="F42" s="97">
        <v>9.0300457217504899</v>
      </c>
    </row>
    <row r="43" spans="1:6" x14ac:dyDescent="0.2">
      <c r="A43" s="1" t="s">
        <v>44</v>
      </c>
      <c r="B43" s="99">
        <v>80000</v>
      </c>
      <c r="C43" s="72">
        <v>79500</v>
      </c>
      <c r="D43" s="72">
        <v>42</v>
      </c>
      <c r="E43" s="72">
        <v>3339</v>
      </c>
      <c r="F43" s="97">
        <v>90.871979098628344</v>
      </c>
    </row>
    <row r="44" spans="1:6" ht="15.75" x14ac:dyDescent="0.25">
      <c r="A44" s="10" t="s">
        <v>45</v>
      </c>
      <c r="B44" s="56">
        <v>247500</v>
      </c>
      <c r="C44" s="56">
        <v>245800</v>
      </c>
      <c r="D44" s="83">
        <v>40.600081366965014</v>
      </c>
      <c r="E44" s="6">
        <v>9979.5</v>
      </c>
      <c r="F44" s="83">
        <v>271.59536250816461</v>
      </c>
    </row>
    <row r="45" spans="1:6" x14ac:dyDescent="0.2">
      <c r="A45" s="1" t="s">
        <v>46</v>
      </c>
      <c r="B45" s="99" t="s">
        <v>65</v>
      </c>
      <c r="C45" s="99" t="s">
        <v>65</v>
      </c>
      <c r="D45" s="99" t="s">
        <v>65</v>
      </c>
      <c r="E45" s="58" t="s">
        <v>65</v>
      </c>
      <c r="F45" s="58" t="s">
        <v>65</v>
      </c>
    </row>
    <row r="46" spans="1:6" x14ac:dyDescent="0.2">
      <c r="A46" s="1" t="s">
        <v>47</v>
      </c>
      <c r="B46" s="99" t="s">
        <v>65</v>
      </c>
      <c r="C46" s="99" t="s">
        <v>65</v>
      </c>
      <c r="D46" s="99" t="s">
        <v>65</v>
      </c>
      <c r="E46" s="58" t="s">
        <v>65</v>
      </c>
      <c r="F46" s="58" t="s">
        <v>65</v>
      </c>
    </row>
    <row r="47" spans="1:6" x14ac:dyDescent="0.2">
      <c r="A47" s="100" t="s">
        <v>48</v>
      </c>
      <c r="B47" s="99" t="s">
        <v>65</v>
      </c>
      <c r="C47" s="99" t="s">
        <v>65</v>
      </c>
      <c r="D47" s="99" t="s">
        <v>65</v>
      </c>
      <c r="E47" s="58" t="s">
        <v>65</v>
      </c>
      <c r="F47" s="58" t="s">
        <v>65</v>
      </c>
    </row>
    <row r="48" spans="1:6" x14ac:dyDescent="0.2">
      <c r="A48" s="1" t="s">
        <v>49</v>
      </c>
      <c r="B48" s="99" t="s">
        <v>65</v>
      </c>
      <c r="C48" s="99" t="s">
        <v>65</v>
      </c>
      <c r="D48" s="99" t="s">
        <v>65</v>
      </c>
      <c r="E48" s="58" t="s">
        <v>65</v>
      </c>
      <c r="F48" s="58" t="s">
        <v>65</v>
      </c>
    </row>
    <row r="49" spans="1:6" x14ac:dyDescent="0.2">
      <c r="A49" s="1" t="s">
        <v>50</v>
      </c>
      <c r="B49" s="99" t="s">
        <v>65</v>
      </c>
      <c r="C49" s="99" t="s">
        <v>65</v>
      </c>
      <c r="D49" s="99" t="s">
        <v>65</v>
      </c>
      <c r="E49" s="58" t="s">
        <v>65</v>
      </c>
      <c r="F49" s="58" t="s">
        <v>65</v>
      </c>
    </row>
    <row r="50" spans="1:6" x14ac:dyDescent="0.2">
      <c r="A50" s="1" t="s">
        <v>51</v>
      </c>
      <c r="B50" s="99" t="s">
        <v>65</v>
      </c>
      <c r="C50" s="99" t="s">
        <v>65</v>
      </c>
      <c r="D50" s="99" t="s">
        <v>65</v>
      </c>
      <c r="E50" s="58" t="s">
        <v>65</v>
      </c>
      <c r="F50" s="58" t="s">
        <v>65</v>
      </c>
    </row>
    <row r="51" spans="1:6" x14ac:dyDescent="0.2">
      <c r="A51" s="1" t="s">
        <v>52</v>
      </c>
      <c r="B51" s="99" t="s">
        <v>65</v>
      </c>
      <c r="C51" s="99" t="s">
        <v>65</v>
      </c>
      <c r="D51" s="99" t="s">
        <v>65</v>
      </c>
      <c r="E51" s="58" t="s">
        <v>65</v>
      </c>
      <c r="F51" s="58" t="s">
        <v>65</v>
      </c>
    </row>
    <row r="52" spans="1:6" x14ac:dyDescent="0.2">
      <c r="A52" s="1" t="s">
        <v>53</v>
      </c>
      <c r="B52" s="99" t="s">
        <v>65</v>
      </c>
      <c r="C52" s="99" t="s">
        <v>65</v>
      </c>
      <c r="D52" s="99" t="s">
        <v>65</v>
      </c>
      <c r="E52" s="58" t="s">
        <v>65</v>
      </c>
      <c r="F52" s="58" t="s">
        <v>65</v>
      </c>
    </row>
    <row r="53" spans="1:6" x14ac:dyDescent="0.2">
      <c r="A53" s="1" t="s">
        <v>54</v>
      </c>
      <c r="B53" s="99" t="s">
        <v>65</v>
      </c>
      <c r="C53" s="99" t="s">
        <v>65</v>
      </c>
      <c r="D53" s="99" t="s">
        <v>65</v>
      </c>
      <c r="E53" s="58" t="s">
        <v>65</v>
      </c>
      <c r="F53" s="58" t="s">
        <v>65</v>
      </c>
    </row>
    <row r="54" spans="1:6" x14ac:dyDescent="0.2">
      <c r="A54" s="1" t="s">
        <v>55</v>
      </c>
      <c r="B54" s="99" t="s">
        <v>65</v>
      </c>
      <c r="C54" s="99" t="s">
        <v>65</v>
      </c>
      <c r="D54" s="99" t="s">
        <v>65</v>
      </c>
      <c r="E54" s="58" t="s">
        <v>65</v>
      </c>
      <c r="F54" s="58" t="s">
        <v>65</v>
      </c>
    </row>
    <row r="55" spans="1:6" ht="15.75" x14ac:dyDescent="0.25">
      <c r="A55" s="10" t="s">
        <v>56</v>
      </c>
      <c r="B55" s="105">
        <v>2000</v>
      </c>
      <c r="C55" s="56">
        <v>2000</v>
      </c>
      <c r="D55" s="83">
        <v>35.700000000000003</v>
      </c>
      <c r="E55" s="56">
        <v>71.400000000000006</v>
      </c>
      <c r="F55" s="83">
        <v>1.9431743958197258</v>
      </c>
    </row>
    <row r="56" spans="1:6" ht="15.75" x14ac:dyDescent="0.25">
      <c r="A56" s="5" t="s">
        <v>0</v>
      </c>
      <c r="B56" s="56">
        <v>2100000</v>
      </c>
      <c r="C56" s="56">
        <v>2095000</v>
      </c>
      <c r="D56" s="83">
        <v>43.43690214797136</v>
      </c>
      <c r="E56" s="6">
        <v>91000.31</v>
      </c>
      <c r="F56" s="83">
        <v>2476.6032549531897</v>
      </c>
    </row>
    <row r="57" spans="1:6" x14ac:dyDescent="0.2">
      <c r="A57" s="8"/>
      <c r="B57" s="8"/>
      <c r="C57" s="64"/>
      <c r="D57" s="8"/>
      <c r="E57" s="8"/>
      <c r="F57" s="8"/>
    </row>
    <row r="58" spans="1:6" x14ac:dyDescent="0.2">
      <c r="A58" s="2"/>
      <c r="B58" s="69"/>
      <c r="C58" s="69"/>
      <c r="D58" s="103"/>
      <c r="E58" s="69"/>
      <c r="F58" s="70"/>
    </row>
    <row r="59" spans="1:6" x14ac:dyDescent="0.2">
      <c r="A59" s="2"/>
      <c r="B59" s="3"/>
      <c r="C59" s="3"/>
      <c r="D59" s="4"/>
      <c r="E59" s="3"/>
      <c r="F59" s="68"/>
    </row>
    <row r="60" spans="1:6" x14ac:dyDescent="0.2">
      <c r="A60" s="61" t="s">
        <v>75</v>
      </c>
      <c r="B60" s="3"/>
      <c r="C60" s="3"/>
      <c r="D60" s="4"/>
      <c r="E60" s="3"/>
      <c r="F60" s="68"/>
    </row>
    <row r="61" spans="1:6" x14ac:dyDescent="0.2">
      <c r="A61" s="2"/>
      <c r="B61" s="3"/>
      <c r="C61" s="3"/>
      <c r="D61" s="4"/>
      <c r="E61" s="3"/>
      <c r="F61" s="68"/>
    </row>
    <row r="62" spans="1:6" x14ac:dyDescent="0.2">
      <c r="A62" s="2"/>
      <c r="B62" s="3"/>
      <c r="C62" s="3"/>
      <c r="D62" s="4"/>
      <c r="E62" s="3"/>
      <c r="F62" s="68"/>
    </row>
    <row r="63" spans="1:6" x14ac:dyDescent="0.2">
      <c r="A63" s="2"/>
      <c r="B63" s="3"/>
      <c r="C63" s="3"/>
      <c r="D63" s="4"/>
      <c r="E63" s="3"/>
      <c r="F63" s="68"/>
    </row>
    <row r="64" spans="1:6" x14ac:dyDescent="0.2">
      <c r="A64" s="2"/>
      <c r="B64" s="3"/>
      <c r="C64" s="3"/>
      <c r="D64" s="4"/>
      <c r="E64" s="3"/>
      <c r="F64" s="68"/>
    </row>
    <row r="65" spans="1:6" x14ac:dyDescent="0.2">
      <c r="A65" s="2"/>
      <c r="B65" s="3"/>
      <c r="C65" s="3"/>
      <c r="D65" s="4"/>
      <c r="E65" s="3"/>
      <c r="F65" s="68"/>
    </row>
    <row r="66" spans="1:6" x14ac:dyDescent="0.2">
      <c r="A66" s="2"/>
      <c r="B66" s="3"/>
      <c r="C66" s="3"/>
      <c r="D66" s="4"/>
      <c r="E66" s="3"/>
      <c r="F66" s="68"/>
    </row>
    <row r="67" spans="1:6" x14ac:dyDescent="0.2">
      <c r="A67" s="2"/>
      <c r="B67" s="3"/>
      <c r="C67" s="3"/>
      <c r="D67" s="4"/>
      <c r="E67" s="3"/>
      <c r="F67" s="68"/>
    </row>
    <row r="68" spans="1:6" x14ac:dyDescent="0.2">
      <c r="A68" s="2"/>
      <c r="B68" s="3"/>
      <c r="C68" s="3"/>
      <c r="D68" s="4"/>
      <c r="E68" s="3"/>
      <c r="F68" s="68"/>
    </row>
    <row r="69" spans="1:6" x14ac:dyDescent="0.2">
      <c r="A69" s="2"/>
      <c r="B69" s="3"/>
      <c r="C69" s="3"/>
      <c r="D69" s="4"/>
      <c r="E69" s="3"/>
      <c r="F69" s="68"/>
    </row>
    <row r="70" spans="1:6" x14ac:dyDescent="0.2">
      <c r="A70" s="2"/>
      <c r="B70" s="3"/>
      <c r="C70" s="3"/>
      <c r="D70" s="4"/>
      <c r="E70" s="3"/>
      <c r="F70" s="68"/>
    </row>
    <row r="71" spans="1:6" x14ac:dyDescent="0.2">
      <c r="A71" s="2"/>
      <c r="B71" s="3"/>
      <c r="C71" s="3"/>
      <c r="D71" s="4"/>
      <c r="E71" s="3"/>
      <c r="F71" s="68"/>
    </row>
    <row r="72" spans="1:6" x14ac:dyDescent="0.2">
      <c r="A72" s="2"/>
      <c r="B72" s="2"/>
      <c r="C72" s="2"/>
      <c r="D72" s="2"/>
      <c r="E72" s="2"/>
      <c r="F72" s="2"/>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row>
    <row r="83" spans="1:6" x14ac:dyDescent="0.2">
      <c r="A83" s="2"/>
    </row>
    <row r="84" spans="1:6" x14ac:dyDescent="0.2">
      <c r="A84" s="2"/>
    </row>
    <row r="85" spans="1:6" x14ac:dyDescent="0.2">
      <c r="A85" s="2"/>
    </row>
    <row r="86" spans="1:6" x14ac:dyDescent="0.2">
      <c r="A86" s="2"/>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DCC48-9BCF-4264-BAC8-8FA7932D9A37}">
  <dimension ref="A1:F86"/>
  <sheetViews>
    <sheetView workbookViewId="0"/>
  </sheetViews>
  <sheetFormatPr defaultRowHeight="15" x14ac:dyDescent="0.2"/>
  <cols>
    <col min="1" max="1" width="34.5546875" style="1" customWidth="1"/>
    <col min="2" max="2" width="13.77734375" style="1" customWidth="1"/>
    <col min="3" max="3" width="13.109375" style="1" customWidth="1"/>
    <col min="4" max="4" width="15.33203125" style="1" customWidth="1"/>
    <col min="5" max="5" width="14.6640625" style="1" customWidth="1"/>
    <col min="6" max="6" width="14.33203125" style="1" customWidth="1"/>
  </cols>
  <sheetData>
    <row r="1" spans="1:6" ht="16.5" thickBot="1" x14ac:dyDescent="0.3">
      <c r="A1" s="135" t="s">
        <v>94</v>
      </c>
      <c r="B1" s="136"/>
      <c r="C1" s="136"/>
      <c r="D1" s="136"/>
      <c r="E1" s="136"/>
      <c r="F1" s="136"/>
    </row>
    <row r="2" spans="1:6" ht="30.75" thickBot="1" x14ac:dyDescent="0.3">
      <c r="A2" s="11"/>
      <c r="B2" s="12" t="s">
        <v>59</v>
      </c>
      <c r="C2" s="12" t="s">
        <v>57</v>
      </c>
      <c r="D2" s="13" t="s">
        <v>3</v>
      </c>
      <c r="E2" s="14" t="s">
        <v>1</v>
      </c>
      <c r="F2" s="49" t="s">
        <v>2</v>
      </c>
    </row>
    <row r="3" spans="1:6" x14ac:dyDescent="0.2">
      <c r="A3" s="15" t="s">
        <v>4</v>
      </c>
      <c r="B3" s="84">
        <v>40000</v>
      </c>
      <c r="C3" s="84">
        <v>39700</v>
      </c>
      <c r="D3" s="8">
        <v>26</v>
      </c>
      <c r="E3" s="77">
        <v>1032.2</v>
      </c>
      <c r="F3" s="78">
        <v>28.091661223601132</v>
      </c>
    </row>
    <row r="4" spans="1:6" x14ac:dyDescent="0.2">
      <c r="A4" s="15" t="s">
        <v>5</v>
      </c>
      <c r="B4" s="84">
        <v>240000</v>
      </c>
      <c r="C4" s="84">
        <v>238400</v>
      </c>
      <c r="D4" s="8">
        <v>42</v>
      </c>
      <c r="E4" s="77">
        <v>10012.799999999999</v>
      </c>
      <c r="F4" s="78">
        <v>272.50163291966032</v>
      </c>
    </row>
    <row r="5" spans="1:6" x14ac:dyDescent="0.2">
      <c r="A5" s="15" t="s">
        <v>6</v>
      </c>
      <c r="B5" s="84">
        <v>100000</v>
      </c>
      <c r="C5" s="84">
        <v>99300</v>
      </c>
      <c r="D5" s="8">
        <v>34</v>
      </c>
      <c r="E5" s="77">
        <v>3376.2</v>
      </c>
      <c r="F5" s="78">
        <v>91.884389288047018</v>
      </c>
    </row>
    <row r="6" spans="1:6" x14ac:dyDescent="0.2">
      <c r="A6" s="15" t="s">
        <v>7</v>
      </c>
      <c r="B6" s="84">
        <v>210000</v>
      </c>
      <c r="C6" s="84">
        <v>208600</v>
      </c>
      <c r="D6" s="8">
        <v>42</v>
      </c>
      <c r="E6" s="77">
        <v>8761.2000000000007</v>
      </c>
      <c r="F6" s="78">
        <v>238.43892880470284</v>
      </c>
    </row>
    <row r="7" spans="1:6" x14ac:dyDescent="0.2">
      <c r="A7" s="15" t="s">
        <v>8</v>
      </c>
      <c r="B7" s="84">
        <v>145000</v>
      </c>
      <c r="C7" s="84">
        <v>144000</v>
      </c>
      <c r="D7" s="8">
        <v>25</v>
      </c>
      <c r="E7" s="77">
        <v>3600</v>
      </c>
      <c r="F7" s="78">
        <v>97.975179621162638</v>
      </c>
    </row>
    <row r="8" spans="1:6" x14ac:dyDescent="0.2">
      <c r="A8" s="15" t="s">
        <v>9</v>
      </c>
      <c r="B8" s="84">
        <v>27000</v>
      </c>
      <c r="C8" s="84">
        <v>26800</v>
      </c>
      <c r="D8" s="8">
        <v>23</v>
      </c>
      <c r="E8" s="77">
        <v>616.4</v>
      </c>
      <c r="F8" s="78">
        <v>16.775527977356848</v>
      </c>
    </row>
    <row r="9" spans="1:6" x14ac:dyDescent="0.2">
      <c r="A9" s="15" t="s">
        <v>10</v>
      </c>
      <c r="B9" s="84">
        <v>310000</v>
      </c>
      <c r="C9" s="84">
        <v>308000</v>
      </c>
      <c r="D9" s="8">
        <v>35</v>
      </c>
      <c r="E9" s="77">
        <v>10780</v>
      </c>
      <c r="F9" s="78">
        <v>293.38123231003703</v>
      </c>
    </row>
    <row r="10" spans="1:6" x14ac:dyDescent="0.2">
      <c r="A10" s="15" t="s">
        <v>11</v>
      </c>
      <c r="B10" s="84">
        <v>160000</v>
      </c>
      <c r="C10" s="84">
        <v>158900</v>
      </c>
      <c r="D10" s="8">
        <v>34</v>
      </c>
      <c r="E10" s="77">
        <v>5402.6</v>
      </c>
      <c r="F10" s="78">
        <v>147.03352928369259</v>
      </c>
    </row>
    <row r="11" spans="1:6" x14ac:dyDescent="0.2">
      <c r="A11" s="15" t="s">
        <v>12</v>
      </c>
      <c r="B11" s="84">
        <v>65000</v>
      </c>
      <c r="C11" s="84">
        <v>64600</v>
      </c>
      <c r="D11" s="8">
        <v>19</v>
      </c>
      <c r="E11" s="77">
        <v>1227.4000000000001</v>
      </c>
      <c r="F11" s="78">
        <v>33.404093185281951</v>
      </c>
    </row>
    <row r="12" spans="1:6" x14ac:dyDescent="0.2">
      <c r="A12" s="15" t="s">
        <v>13</v>
      </c>
      <c r="B12" s="84">
        <v>66000</v>
      </c>
      <c r="C12" s="84">
        <v>65600</v>
      </c>
      <c r="D12" s="8">
        <v>35</v>
      </c>
      <c r="E12" s="77">
        <v>2296</v>
      </c>
      <c r="F12" s="78">
        <v>62.486392336163725</v>
      </c>
    </row>
    <row r="13" spans="1:6" ht="15.75" x14ac:dyDescent="0.25">
      <c r="A13" s="16" t="s">
        <v>14</v>
      </c>
      <c r="B13" s="85">
        <v>1363000</v>
      </c>
      <c r="C13" s="85">
        <v>1353900</v>
      </c>
      <c r="D13" s="86">
        <v>34.791934411699536</v>
      </c>
      <c r="E13" s="81">
        <v>47104.800000000003</v>
      </c>
      <c r="F13" s="82">
        <v>1281.9725669497061</v>
      </c>
    </row>
    <row r="14" spans="1:6" x14ac:dyDescent="0.2">
      <c r="A14" s="15" t="s">
        <v>15</v>
      </c>
      <c r="B14" s="84">
        <v>68000</v>
      </c>
      <c r="C14" s="84">
        <v>67500</v>
      </c>
      <c r="D14" s="8">
        <v>29</v>
      </c>
      <c r="E14" s="77">
        <v>1957.5</v>
      </c>
      <c r="F14" s="78">
        <v>53.274003919007185</v>
      </c>
    </row>
    <row r="15" spans="1:6" x14ac:dyDescent="0.2">
      <c r="A15" s="15" t="s">
        <v>16</v>
      </c>
      <c r="B15" s="84">
        <v>15000</v>
      </c>
      <c r="C15" s="84">
        <v>14900</v>
      </c>
      <c r="D15" s="8">
        <v>22</v>
      </c>
      <c r="E15" s="77">
        <v>327.8</v>
      </c>
      <c r="F15" s="78">
        <v>8.9211844110603096</v>
      </c>
    </row>
    <row r="16" spans="1:6" x14ac:dyDescent="0.2">
      <c r="A16" s="15" t="s">
        <v>17</v>
      </c>
      <c r="B16" s="84">
        <v>16000</v>
      </c>
      <c r="C16" s="84">
        <v>15900</v>
      </c>
      <c r="D16" s="8">
        <v>21</v>
      </c>
      <c r="E16" s="77">
        <v>333.9</v>
      </c>
      <c r="F16" s="78">
        <v>9.0871979098628337</v>
      </c>
    </row>
    <row r="17" spans="1:6" x14ac:dyDescent="0.2">
      <c r="A17" s="15" t="s">
        <v>18</v>
      </c>
      <c r="B17" s="84">
        <v>17000</v>
      </c>
      <c r="C17" s="84">
        <v>16900</v>
      </c>
      <c r="D17" s="8">
        <v>18</v>
      </c>
      <c r="E17" s="77">
        <v>304.2</v>
      </c>
      <c r="F17" s="78">
        <v>8.278902677988242</v>
      </c>
    </row>
    <row r="18" spans="1:6" x14ac:dyDescent="0.2">
      <c r="A18" s="15" t="s">
        <v>19</v>
      </c>
      <c r="B18" s="84">
        <v>175000</v>
      </c>
      <c r="C18" s="84">
        <v>173800</v>
      </c>
      <c r="D18" s="8">
        <v>33</v>
      </c>
      <c r="E18" s="77">
        <v>5735.4</v>
      </c>
      <c r="F18" s="78">
        <v>156.09079033311559</v>
      </c>
    </row>
    <row r="19" spans="1:6" x14ac:dyDescent="0.2">
      <c r="A19" s="15" t="s">
        <v>20</v>
      </c>
      <c r="B19" s="84">
        <v>13000</v>
      </c>
      <c r="C19" s="84">
        <v>12900</v>
      </c>
      <c r="D19" s="8">
        <v>19</v>
      </c>
      <c r="E19" s="77">
        <v>245.1</v>
      </c>
      <c r="F19" s="78">
        <v>6.6704768125408229</v>
      </c>
    </row>
    <row r="20" spans="1:6" x14ac:dyDescent="0.2">
      <c r="A20" s="15" t="s">
        <v>21</v>
      </c>
      <c r="B20" s="84">
        <v>99000</v>
      </c>
      <c r="C20" s="84">
        <v>98300</v>
      </c>
      <c r="D20" s="8">
        <v>34</v>
      </c>
      <c r="E20" s="77">
        <v>3342.2</v>
      </c>
      <c r="F20" s="78">
        <v>90.959068147180488</v>
      </c>
    </row>
    <row r="21" spans="1:6" x14ac:dyDescent="0.2">
      <c r="A21" s="15" t="s">
        <v>22</v>
      </c>
      <c r="B21" s="84">
        <v>64000</v>
      </c>
      <c r="C21" s="84">
        <v>63600</v>
      </c>
      <c r="D21" s="8">
        <v>24</v>
      </c>
      <c r="E21" s="77">
        <v>1526.4</v>
      </c>
      <c r="F21" s="78">
        <v>41.541476159372962</v>
      </c>
    </row>
    <row r="22" spans="1:6" x14ac:dyDescent="0.2">
      <c r="A22" s="15" t="s">
        <v>23</v>
      </c>
      <c r="B22" s="84">
        <v>20000</v>
      </c>
      <c r="C22" s="84">
        <v>19900</v>
      </c>
      <c r="D22" s="8">
        <v>28</v>
      </c>
      <c r="E22" s="77">
        <v>557.20000000000005</v>
      </c>
      <c r="F22" s="78">
        <v>15.164380579142174</v>
      </c>
    </row>
    <row r="23" spans="1:6" x14ac:dyDescent="0.2">
      <c r="A23" s="15" t="s">
        <v>24</v>
      </c>
      <c r="B23" s="84">
        <v>71000</v>
      </c>
      <c r="C23" s="84">
        <v>70500</v>
      </c>
      <c r="D23" s="8">
        <v>26</v>
      </c>
      <c r="E23" s="77">
        <v>1833</v>
      </c>
      <c r="F23" s="78">
        <v>49.885695623775312</v>
      </c>
    </row>
    <row r="24" spans="1:6" ht="15.75" x14ac:dyDescent="0.25">
      <c r="A24" s="16" t="s">
        <v>25</v>
      </c>
      <c r="B24" s="85">
        <v>558000</v>
      </c>
      <c r="C24" s="85">
        <v>554200</v>
      </c>
      <c r="D24" s="86">
        <v>29.164020209310713</v>
      </c>
      <c r="E24" s="81">
        <v>16162.699999999999</v>
      </c>
      <c r="F24" s="82">
        <v>439.8731765730459</v>
      </c>
    </row>
    <row r="25" spans="1:6" x14ac:dyDescent="0.2">
      <c r="A25" s="15" t="s">
        <v>26</v>
      </c>
      <c r="B25" s="84">
        <v>25000</v>
      </c>
      <c r="C25" s="84">
        <v>24800</v>
      </c>
      <c r="D25" s="8">
        <v>23</v>
      </c>
      <c r="E25" s="77">
        <v>570.4</v>
      </c>
      <c r="F25" s="78">
        <v>15.523622904419769</v>
      </c>
    </row>
    <row r="26" spans="1:6" x14ac:dyDescent="0.2">
      <c r="A26" s="15" t="s">
        <v>27</v>
      </c>
      <c r="B26" s="84" t="s">
        <v>65</v>
      </c>
      <c r="C26" s="84" t="s">
        <v>65</v>
      </c>
      <c r="D26" s="84" t="s">
        <v>65</v>
      </c>
      <c r="E26" s="84" t="s">
        <v>65</v>
      </c>
      <c r="F26" s="84" t="s">
        <v>65</v>
      </c>
    </row>
    <row r="27" spans="1:6" x14ac:dyDescent="0.2">
      <c r="A27" s="15" t="s">
        <v>28</v>
      </c>
      <c r="B27" s="84">
        <v>6000</v>
      </c>
      <c r="C27" s="84">
        <v>6000</v>
      </c>
      <c r="D27" s="8">
        <v>29</v>
      </c>
      <c r="E27" s="77">
        <v>174</v>
      </c>
      <c r="F27" s="78">
        <v>4.735467015022861</v>
      </c>
    </row>
    <row r="28" spans="1:6" x14ac:dyDescent="0.2">
      <c r="A28" s="15" t="s">
        <v>29</v>
      </c>
      <c r="B28" s="84">
        <v>22000</v>
      </c>
      <c r="C28" s="84">
        <v>21900</v>
      </c>
      <c r="D28" s="8">
        <v>22</v>
      </c>
      <c r="E28" s="77">
        <v>481.8</v>
      </c>
      <c r="F28" s="78">
        <v>13.112344872632267</v>
      </c>
    </row>
    <row r="29" spans="1:6" x14ac:dyDescent="0.2">
      <c r="A29" s="15" t="s">
        <v>30</v>
      </c>
      <c r="B29" s="84" t="s">
        <v>65</v>
      </c>
      <c r="C29" s="84" t="s">
        <v>65</v>
      </c>
      <c r="D29" s="84" t="s">
        <v>65</v>
      </c>
      <c r="E29" s="84" t="s">
        <v>65</v>
      </c>
      <c r="F29" s="84" t="s">
        <v>65</v>
      </c>
    </row>
    <row r="30" spans="1:6" x14ac:dyDescent="0.2">
      <c r="A30" s="15" t="s">
        <v>31</v>
      </c>
      <c r="B30" s="84">
        <v>23000</v>
      </c>
      <c r="C30" s="84">
        <v>22800</v>
      </c>
      <c r="D30" s="8">
        <v>26</v>
      </c>
      <c r="E30" s="77">
        <v>592.79999999999995</v>
      </c>
      <c r="F30" s="78">
        <v>16.133246244284781</v>
      </c>
    </row>
    <row r="31" spans="1:6" x14ac:dyDescent="0.2">
      <c r="A31" s="15" t="s">
        <v>32</v>
      </c>
      <c r="B31" s="84" t="s">
        <v>65</v>
      </c>
      <c r="C31" s="84" t="s">
        <v>65</v>
      </c>
      <c r="D31" s="84" t="s">
        <v>65</v>
      </c>
      <c r="E31" s="84" t="s">
        <v>65</v>
      </c>
      <c r="F31" s="84" t="s">
        <v>65</v>
      </c>
    </row>
    <row r="32" spans="1:6" x14ac:dyDescent="0.2">
      <c r="A32" s="15" t="s">
        <v>33</v>
      </c>
      <c r="B32" s="84">
        <v>8000</v>
      </c>
      <c r="C32" s="84">
        <v>7900</v>
      </c>
      <c r="D32" s="8">
        <v>24</v>
      </c>
      <c r="E32" s="77">
        <v>189.6</v>
      </c>
      <c r="F32" s="78">
        <v>5.1600261267145653</v>
      </c>
    </row>
    <row r="33" spans="1:6" x14ac:dyDescent="0.2">
      <c r="A33" s="15" t="s">
        <v>34</v>
      </c>
      <c r="B33" s="84">
        <v>16000</v>
      </c>
      <c r="C33" s="84">
        <v>15900</v>
      </c>
      <c r="D33" s="8">
        <v>21</v>
      </c>
      <c r="E33" s="77">
        <v>333.9</v>
      </c>
      <c r="F33" s="78">
        <v>9.0871979098628337</v>
      </c>
    </row>
    <row r="34" spans="1:6" x14ac:dyDescent="0.2">
      <c r="A34" s="15" t="s">
        <v>35</v>
      </c>
      <c r="B34" s="84">
        <v>13000</v>
      </c>
      <c r="C34" s="84">
        <v>12900</v>
      </c>
      <c r="D34" s="8">
        <v>21</v>
      </c>
      <c r="E34" s="77">
        <v>270.89999999999998</v>
      </c>
      <c r="F34" s="78">
        <v>7.3726322664924879</v>
      </c>
    </row>
    <row r="35" spans="1:6" ht="15.75" x14ac:dyDescent="0.25">
      <c r="A35" s="16" t="s">
        <v>36</v>
      </c>
      <c r="B35" s="85">
        <v>113000</v>
      </c>
      <c r="C35" s="85">
        <v>112200</v>
      </c>
      <c r="D35" s="86">
        <v>23.292335115864528</v>
      </c>
      <c r="E35" s="81">
        <v>2613.4</v>
      </c>
      <c r="F35" s="82">
        <v>71.124537339429565</v>
      </c>
    </row>
    <row r="36" spans="1:6" x14ac:dyDescent="0.2">
      <c r="A36" s="15" t="s">
        <v>37</v>
      </c>
      <c r="B36" s="84">
        <v>4000</v>
      </c>
      <c r="C36" s="84">
        <v>4000</v>
      </c>
      <c r="D36" s="8">
        <v>28</v>
      </c>
      <c r="E36" s="77">
        <v>112</v>
      </c>
      <c r="F36" s="78">
        <v>3.0481166993250599</v>
      </c>
    </row>
    <row r="37" spans="1:6" x14ac:dyDescent="0.2">
      <c r="A37" s="15" t="s">
        <v>38</v>
      </c>
      <c r="B37" s="84">
        <v>4000</v>
      </c>
      <c r="C37" s="84">
        <v>4000</v>
      </c>
      <c r="D37" s="8">
        <v>33</v>
      </c>
      <c r="E37" s="77">
        <v>132</v>
      </c>
      <c r="F37" s="78">
        <v>3.5924232527759634</v>
      </c>
    </row>
    <row r="38" spans="1:6" x14ac:dyDescent="0.2">
      <c r="A38" s="15" t="s">
        <v>39</v>
      </c>
      <c r="B38" s="84">
        <v>11000</v>
      </c>
      <c r="C38" s="84">
        <v>10900</v>
      </c>
      <c r="D38" s="8">
        <v>33</v>
      </c>
      <c r="E38" s="77">
        <v>359.7</v>
      </c>
      <c r="F38" s="78">
        <v>9.7893533638145005</v>
      </c>
    </row>
    <row r="39" spans="1:6" x14ac:dyDescent="0.2">
      <c r="A39" s="15" t="s">
        <v>40</v>
      </c>
      <c r="B39" s="84">
        <v>8000</v>
      </c>
      <c r="C39" s="84">
        <v>7900</v>
      </c>
      <c r="D39" s="8">
        <v>22</v>
      </c>
      <c r="E39" s="77">
        <v>173.8</v>
      </c>
      <c r="F39" s="78">
        <v>4.730023949488352</v>
      </c>
    </row>
    <row r="40" spans="1:6" x14ac:dyDescent="0.2">
      <c r="A40" s="15" t="s">
        <v>41</v>
      </c>
      <c r="B40" s="84">
        <v>36000</v>
      </c>
      <c r="C40" s="84">
        <v>35800</v>
      </c>
      <c r="D40" s="8">
        <v>41</v>
      </c>
      <c r="E40" s="77">
        <v>1467.8</v>
      </c>
      <c r="F40" s="78">
        <v>39.946657957761808</v>
      </c>
    </row>
    <row r="41" spans="1:6" x14ac:dyDescent="0.2">
      <c r="A41" s="15" t="s">
        <v>42</v>
      </c>
      <c r="B41" s="84">
        <v>58000</v>
      </c>
      <c r="C41" s="84">
        <v>57600</v>
      </c>
      <c r="D41" s="8">
        <v>36</v>
      </c>
      <c r="E41" s="77">
        <v>2073.6</v>
      </c>
      <c r="F41" s="78">
        <v>56.433703461789676</v>
      </c>
    </row>
    <row r="42" spans="1:6" x14ac:dyDescent="0.2">
      <c r="A42" s="15" t="s">
        <v>43</v>
      </c>
      <c r="B42" s="84">
        <v>5000</v>
      </c>
      <c r="C42" s="84">
        <v>5000</v>
      </c>
      <c r="D42" s="8">
        <v>32</v>
      </c>
      <c r="E42" s="77">
        <v>160</v>
      </c>
      <c r="F42" s="78">
        <v>4.3544524276072281</v>
      </c>
    </row>
    <row r="43" spans="1:6" x14ac:dyDescent="0.2">
      <c r="A43" s="15" t="s">
        <v>44</v>
      </c>
      <c r="B43" s="84">
        <v>75000</v>
      </c>
      <c r="C43" s="84">
        <v>74500</v>
      </c>
      <c r="D43" s="8">
        <v>40</v>
      </c>
      <c r="E43" s="77">
        <v>2980</v>
      </c>
      <c r="F43" s="78">
        <v>81.101676464184635</v>
      </c>
    </row>
    <row r="44" spans="1:6" ht="15.75" x14ac:dyDescent="0.25">
      <c r="A44" s="16" t="s">
        <v>45</v>
      </c>
      <c r="B44" s="85">
        <v>201000</v>
      </c>
      <c r="C44" s="85">
        <v>199700</v>
      </c>
      <c r="D44" s="86">
        <v>37.350525788683022</v>
      </c>
      <c r="E44" s="81">
        <v>7458.9</v>
      </c>
      <c r="F44" s="82">
        <v>202.9964075767472</v>
      </c>
    </row>
    <row r="45" spans="1:6" x14ac:dyDescent="0.2">
      <c r="A45" s="15" t="s">
        <v>46</v>
      </c>
      <c r="B45" s="84" t="s">
        <v>65</v>
      </c>
      <c r="C45" s="84" t="s">
        <v>65</v>
      </c>
      <c r="D45" s="84" t="s">
        <v>65</v>
      </c>
      <c r="E45" s="84" t="s">
        <v>65</v>
      </c>
      <c r="F45" s="84" t="s">
        <v>65</v>
      </c>
    </row>
    <row r="46" spans="1:6" x14ac:dyDescent="0.2">
      <c r="A46" s="15" t="s">
        <v>47</v>
      </c>
      <c r="B46" s="84" t="s">
        <v>65</v>
      </c>
      <c r="C46" s="84" t="s">
        <v>65</v>
      </c>
      <c r="D46" s="84" t="s">
        <v>65</v>
      </c>
      <c r="E46" s="84" t="s">
        <v>65</v>
      </c>
      <c r="F46" s="84" t="s">
        <v>65</v>
      </c>
    </row>
    <row r="47" spans="1:6" x14ac:dyDescent="0.2">
      <c r="A47" s="17" t="s">
        <v>48</v>
      </c>
      <c r="B47" s="84" t="s">
        <v>65</v>
      </c>
      <c r="C47" s="84" t="s">
        <v>65</v>
      </c>
      <c r="D47" s="84" t="s">
        <v>65</v>
      </c>
      <c r="E47" s="84" t="s">
        <v>65</v>
      </c>
      <c r="F47" s="84" t="s">
        <v>65</v>
      </c>
    </row>
    <row r="48" spans="1:6" x14ac:dyDescent="0.2">
      <c r="A48" s="15" t="s">
        <v>49</v>
      </c>
      <c r="B48" s="84" t="s">
        <v>65</v>
      </c>
      <c r="C48" s="84" t="s">
        <v>65</v>
      </c>
      <c r="D48" s="84" t="s">
        <v>65</v>
      </c>
      <c r="E48" s="84" t="s">
        <v>65</v>
      </c>
      <c r="F48" s="84" t="s">
        <v>65</v>
      </c>
    </row>
    <row r="49" spans="1:6" x14ac:dyDescent="0.2">
      <c r="A49" s="15" t="s">
        <v>50</v>
      </c>
      <c r="B49" s="84" t="s">
        <v>65</v>
      </c>
      <c r="C49" s="84" t="s">
        <v>65</v>
      </c>
      <c r="D49" s="8" t="s">
        <v>65</v>
      </c>
      <c r="E49" s="77" t="s">
        <v>65</v>
      </c>
      <c r="F49" s="78" t="s">
        <v>65</v>
      </c>
    </row>
    <row r="50" spans="1:6" x14ac:dyDescent="0.2">
      <c r="A50" s="15" t="s">
        <v>51</v>
      </c>
      <c r="B50" s="84" t="s">
        <v>65</v>
      </c>
      <c r="C50" s="84" t="s">
        <v>65</v>
      </c>
      <c r="D50" s="8" t="s">
        <v>65</v>
      </c>
      <c r="E50" s="77" t="s">
        <v>65</v>
      </c>
      <c r="F50" s="78" t="s">
        <v>65</v>
      </c>
    </row>
    <row r="51" spans="1:6" x14ac:dyDescent="0.2">
      <c r="A51" s="15" t="s">
        <v>52</v>
      </c>
      <c r="B51" s="84" t="s">
        <v>65</v>
      </c>
      <c r="C51" s="84" t="s">
        <v>65</v>
      </c>
      <c r="D51" s="84" t="s">
        <v>65</v>
      </c>
      <c r="E51" s="84" t="s">
        <v>65</v>
      </c>
      <c r="F51" s="84" t="s">
        <v>65</v>
      </c>
    </row>
    <row r="52" spans="1:6" x14ac:dyDescent="0.2">
      <c r="A52" s="15" t="s">
        <v>53</v>
      </c>
      <c r="B52" s="84" t="s">
        <v>65</v>
      </c>
      <c r="C52" s="84" t="s">
        <v>65</v>
      </c>
      <c r="D52" s="84" t="s">
        <v>65</v>
      </c>
      <c r="E52" s="84" t="s">
        <v>65</v>
      </c>
      <c r="F52" s="84" t="s">
        <v>65</v>
      </c>
    </row>
    <row r="53" spans="1:6" x14ac:dyDescent="0.2">
      <c r="A53" s="15" t="s">
        <v>54</v>
      </c>
      <c r="B53" s="84" t="s">
        <v>65</v>
      </c>
      <c r="C53" s="84" t="s">
        <v>65</v>
      </c>
      <c r="D53" s="8" t="s">
        <v>65</v>
      </c>
      <c r="E53" s="77" t="s">
        <v>65</v>
      </c>
      <c r="F53" s="78" t="s">
        <v>65</v>
      </c>
    </row>
    <row r="54" spans="1:6" x14ac:dyDescent="0.2">
      <c r="A54" s="15" t="s">
        <v>55</v>
      </c>
      <c r="B54" s="84" t="s">
        <v>65</v>
      </c>
      <c r="C54" s="84" t="s">
        <v>65</v>
      </c>
      <c r="D54" s="8" t="s">
        <v>65</v>
      </c>
      <c r="E54" s="77" t="s">
        <v>65</v>
      </c>
      <c r="F54" s="78" t="s">
        <v>65</v>
      </c>
    </row>
    <row r="55" spans="1:6" ht="15.75" x14ac:dyDescent="0.25">
      <c r="A55" s="16" t="s">
        <v>56</v>
      </c>
      <c r="B55" s="85">
        <v>5000</v>
      </c>
      <c r="C55" s="85">
        <v>5000</v>
      </c>
      <c r="D55" s="86">
        <v>32.1</v>
      </c>
      <c r="E55" s="81">
        <v>160.5</v>
      </c>
      <c r="F55" s="82">
        <v>4.3680600914435006</v>
      </c>
    </row>
    <row r="56" spans="1:6" ht="16.5" thickBot="1" x14ac:dyDescent="0.3">
      <c r="A56" s="18" t="s">
        <v>0</v>
      </c>
      <c r="B56" s="87">
        <v>2240000</v>
      </c>
      <c r="C56" s="87">
        <v>2225000</v>
      </c>
      <c r="D56" s="88">
        <v>33.033842696629208</v>
      </c>
      <c r="E56" s="89">
        <v>73500.299999999988</v>
      </c>
      <c r="F56" s="90">
        <v>2000.3347485303721</v>
      </c>
    </row>
    <row r="57" spans="1:6" ht="15.75" x14ac:dyDescent="0.25">
      <c r="A57" s="5"/>
      <c r="B57" s="6"/>
      <c r="C57" s="6"/>
      <c r="D57" s="73"/>
      <c r="E57" s="56"/>
      <c r="F57" s="83"/>
    </row>
    <row r="58" spans="1:6" x14ac:dyDescent="0.2">
      <c r="A58" s="8"/>
      <c r="B58" s="8"/>
      <c r="C58" s="64"/>
      <c r="D58" s="8"/>
      <c r="E58" s="8"/>
      <c r="F58" s="8"/>
    </row>
    <row r="59" spans="1:6" ht="15.75" x14ac:dyDescent="0.25">
      <c r="A59" s="10" t="s">
        <v>75</v>
      </c>
      <c r="B59" s="3"/>
      <c r="C59" s="3"/>
      <c r="D59" s="4"/>
      <c r="E59" s="3"/>
      <c r="F59" s="68"/>
    </row>
    <row r="60" spans="1:6" x14ac:dyDescent="0.2">
      <c r="B60" s="3"/>
      <c r="C60" s="3"/>
      <c r="D60" s="4"/>
      <c r="E60" s="3"/>
      <c r="F60" s="68"/>
    </row>
    <row r="61" spans="1:6" x14ac:dyDescent="0.2">
      <c r="A61" s="2"/>
      <c r="B61" s="3"/>
      <c r="C61" s="3"/>
      <c r="D61" s="4"/>
      <c r="E61" s="3"/>
      <c r="F61" s="68"/>
    </row>
    <row r="62" spans="1:6" x14ac:dyDescent="0.2">
      <c r="A62" s="2"/>
      <c r="B62" s="3"/>
      <c r="C62" s="3"/>
      <c r="D62" s="4"/>
      <c r="E62" s="3"/>
      <c r="F62" s="68"/>
    </row>
    <row r="63" spans="1:6" x14ac:dyDescent="0.2">
      <c r="A63" s="2"/>
      <c r="B63" s="3"/>
      <c r="C63" s="3"/>
      <c r="D63" s="4"/>
      <c r="E63" s="3"/>
      <c r="F63" s="68"/>
    </row>
    <row r="64" spans="1:6" x14ac:dyDescent="0.2">
      <c r="A64" s="2"/>
      <c r="B64" s="3"/>
      <c r="C64" s="3"/>
      <c r="D64" s="4"/>
      <c r="E64" s="3"/>
      <c r="F64" s="68"/>
    </row>
    <row r="65" spans="1:6" x14ac:dyDescent="0.2">
      <c r="A65" s="2"/>
      <c r="B65" s="3"/>
      <c r="C65" s="3"/>
      <c r="D65" s="4"/>
      <c r="E65" s="3"/>
      <c r="F65" s="68"/>
    </row>
    <row r="66" spans="1:6" x14ac:dyDescent="0.2">
      <c r="A66" s="2"/>
      <c r="B66" s="3"/>
      <c r="C66" s="3"/>
      <c r="D66" s="4"/>
      <c r="E66" s="3"/>
      <c r="F66" s="68"/>
    </row>
    <row r="67" spans="1:6" x14ac:dyDescent="0.2">
      <c r="A67" s="2"/>
      <c r="B67" s="3"/>
      <c r="C67" s="3"/>
      <c r="D67" s="4"/>
      <c r="E67" s="3"/>
      <c r="F67" s="68"/>
    </row>
    <row r="68" spans="1:6" x14ac:dyDescent="0.2">
      <c r="A68" s="2"/>
      <c r="B68" s="3"/>
      <c r="C68" s="3"/>
      <c r="D68" s="4"/>
      <c r="E68" s="3"/>
      <c r="F68" s="68"/>
    </row>
    <row r="69" spans="1:6" x14ac:dyDescent="0.2">
      <c r="A69" s="2"/>
      <c r="B69" s="3"/>
      <c r="C69" s="3"/>
      <c r="D69" s="4"/>
      <c r="E69" s="3"/>
      <c r="F69" s="68"/>
    </row>
    <row r="70" spans="1:6" x14ac:dyDescent="0.2">
      <c r="A70" s="2"/>
      <c r="B70" s="3"/>
      <c r="C70" s="3"/>
      <c r="D70" s="4"/>
      <c r="E70" s="3"/>
      <c r="F70" s="68"/>
    </row>
    <row r="71" spans="1:6" x14ac:dyDescent="0.2">
      <c r="A71" s="2"/>
      <c r="B71" s="3"/>
      <c r="C71" s="3"/>
      <c r="D71" s="4"/>
      <c r="E71" s="3"/>
      <c r="F71" s="68"/>
    </row>
    <row r="72" spans="1:6" x14ac:dyDescent="0.2">
      <c r="A72" s="2"/>
      <c r="B72" s="2"/>
      <c r="C72" s="2"/>
      <c r="D72" s="2"/>
      <c r="E72" s="2"/>
      <c r="F72" s="2"/>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row>
    <row r="83" spans="1:6" x14ac:dyDescent="0.2">
      <c r="A83" s="2"/>
    </row>
    <row r="84" spans="1:6" x14ac:dyDescent="0.2">
      <c r="A84" s="2"/>
    </row>
    <row r="85" spans="1:6" x14ac:dyDescent="0.2">
      <c r="A85" s="2"/>
    </row>
    <row r="86" spans="1:6" x14ac:dyDescent="0.2">
      <c r="A86" s="2"/>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6BF54-BE4A-4527-A334-1B16E2E9FDC7}">
  <dimension ref="A1:F86"/>
  <sheetViews>
    <sheetView workbookViewId="0"/>
  </sheetViews>
  <sheetFormatPr defaultRowHeight="15" x14ac:dyDescent="0.2"/>
  <cols>
    <col min="1" max="1" width="34.5546875" style="1" customWidth="1"/>
    <col min="2" max="2" width="13.77734375" style="1" customWidth="1"/>
    <col min="3" max="3" width="13.109375" style="1" customWidth="1"/>
    <col min="4" max="4" width="15.33203125" style="1" customWidth="1"/>
    <col min="5" max="5" width="14.6640625" style="1" customWidth="1"/>
    <col min="6" max="6" width="14.33203125" style="1" customWidth="1"/>
  </cols>
  <sheetData>
    <row r="1" spans="1:6" ht="16.5" thickBot="1" x14ac:dyDescent="0.3">
      <c r="A1" s="135" t="s">
        <v>95</v>
      </c>
      <c r="B1" s="136"/>
      <c r="C1" s="136"/>
      <c r="D1" s="136"/>
      <c r="E1" s="136"/>
      <c r="F1" s="136"/>
    </row>
    <row r="2" spans="1:6" ht="30.75" thickBot="1" x14ac:dyDescent="0.3">
      <c r="A2" s="11"/>
      <c r="B2" s="12" t="s">
        <v>96</v>
      </c>
      <c r="C2" s="12" t="s">
        <v>57</v>
      </c>
      <c r="D2" s="13" t="s">
        <v>3</v>
      </c>
      <c r="E2" s="14" t="s">
        <v>1</v>
      </c>
      <c r="F2" s="49" t="s">
        <v>2</v>
      </c>
    </row>
    <row r="3" spans="1:6" x14ac:dyDescent="0.2">
      <c r="A3" s="15" t="s">
        <v>4</v>
      </c>
      <c r="B3" s="84">
        <v>39897</v>
      </c>
      <c r="C3" s="84">
        <v>39400</v>
      </c>
      <c r="D3" s="8">
        <v>46</v>
      </c>
      <c r="E3" s="77">
        <v>1812.4</v>
      </c>
      <c r="F3" s="78">
        <v>49.325059873720882</v>
      </c>
    </row>
    <row r="4" spans="1:6" x14ac:dyDescent="0.2">
      <c r="A4" s="15" t="s">
        <v>5</v>
      </c>
      <c r="B4" s="84">
        <v>223370</v>
      </c>
      <c r="C4" s="84">
        <v>220700</v>
      </c>
      <c r="D4" s="8">
        <v>48</v>
      </c>
      <c r="E4" s="77">
        <v>10593.6</v>
      </c>
      <c r="F4" s="78">
        <v>288.30829523187458</v>
      </c>
    </row>
    <row r="5" spans="1:6" x14ac:dyDescent="0.2">
      <c r="A5" s="15" t="s">
        <v>6</v>
      </c>
      <c r="B5" s="84">
        <v>106611</v>
      </c>
      <c r="C5" s="84">
        <v>105300</v>
      </c>
      <c r="D5" s="8">
        <v>47</v>
      </c>
      <c r="E5" s="77">
        <v>4949.1000000000004</v>
      </c>
      <c r="F5" s="78">
        <v>134.69137818419335</v>
      </c>
    </row>
    <row r="6" spans="1:6" x14ac:dyDescent="0.2">
      <c r="A6" s="15" t="s">
        <v>7</v>
      </c>
      <c r="B6" s="84">
        <v>169888</v>
      </c>
      <c r="C6" s="84">
        <v>167800</v>
      </c>
      <c r="D6" s="8">
        <v>45</v>
      </c>
      <c r="E6" s="77">
        <v>7551</v>
      </c>
      <c r="F6" s="78">
        <v>205.50293925538864</v>
      </c>
    </row>
    <row r="7" spans="1:6" x14ac:dyDescent="0.2">
      <c r="A7" s="15" t="s">
        <v>8</v>
      </c>
      <c r="B7" s="84">
        <v>128675</v>
      </c>
      <c r="C7" s="84">
        <v>127100</v>
      </c>
      <c r="D7" s="8">
        <v>43</v>
      </c>
      <c r="E7" s="77">
        <v>5465.3</v>
      </c>
      <c r="F7" s="78">
        <v>148.73993032876118</v>
      </c>
    </row>
    <row r="8" spans="1:6" x14ac:dyDescent="0.2">
      <c r="A8" s="15" t="s">
        <v>9</v>
      </c>
      <c r="B8" s="84">
        <v>26898</v>
      </c>
      <c r="C8" s="84">
        <v>26600</v>
      </c>
      <c r="D8" s="8">
        <v>43</v>
      </c>
      <c r="E8" s="77">
        <v>1143.8</v>
      </c>
      <c r="F8" s="78">
        <v>31.128891791857171</v>
      </c>
    </row>
    <row r="9" spans="1:6" x14ac:dyDescent="0.2">
      <c r="A9" s="15" t="s">
        <v>10</v>
      </c>
      <c r="B9" s="84">
        <v>235701</v>
      </c>
      <c r="C9" s="84">
        <v>232900</v>
      </c>
      <c r="D9" s="8">
        <v>49</v>
      </c>
      <c r="E9" s="77">
        <v>11412.1</v>
      </c>
      <c r="F9" s="78">
        <v>310.58404093185283</v>
      </c>
    </row>
    <row r="10" spans="1:6" x14ac:dyDescent="0.2">
      <c r="A10" s="15" t="s">
        <v>11</v>
      </c>
      <c r="B10" s="84">
        <v>160960</v>
      </c>
      <c r="C10" s="84">
        <v>159000</v>
      </c>
      <c r="D10" s="8">
        <v>50</v>
      </c>
      <c r="E10" s="77">
        <v>7950</v>
      </c>
      <c r="F10" s="78">
        <v>216.36185499673417</v>
      </c>
    </row>
    <row r="11" spans="1:6" x14ac:dyDescent="0.2">
      <c r="A11" s="15" t="s">
        <v>12</v>
      </c>
      <c r="B11" s="84">
        <v>61684</v>
      </c>
      <c r="C11" s="84">
        <v>60900</v>
      </c>
      <c r="D11" s="8">
        <v>45</v>
      </c>
      <c r="E11" s="77">
        <v>2740.5</v>
      </c>
      <c r="F11" s="78">
        <v>74.583605486610054</v>
      </c>
    </row>
    <row r="12" spans="1:6" x14ac:dyDescent="0.2">
      <c r="A12" s="15" t="s">
        <v>13</v>
      </c>
      <c r="B12" s="84">
        <v>69896</v>
      </c>
      <c r="C12" s="84">
        <v>69100</v>
      </c>
      <c r="D12" s="8">
        <v>52</v>
      </c>
      <c r="E12" s="77">
        <v>3593.2</v>
      </c>
      <c r="F12" s="78">
        <v>97.790115392989321</v>
      </c>
    </row>
    <row r="13" spans="1:6" ht="15.75" x14ac:dyDescent="0.25">
      <c r="A13" s="16" t="s">
        <v>14</v>
      </c>
      <c r="B13" s="85">
        <v>1223580</v>
      </c>
      <c r="C13" s="85">
        <v>1208800</v>
      </c>
      <c r="D13" s="86">
        <v>47.328755790866971</v>
      </c>
      <c r="E13" s="81">
        <v>57210.999999999993</v>
      </c>
      <c r="F13" s="82">
        <v>1557.0161114739819</v>
      </c>
    </row>
    <row r="14" spans="1:6" x14ac:dyDescent="0.2">
      <c r="A14" s="15" t="s">
        <v>15</v>
      </c>
      <c r="B14" s="84">
        <v>67128</v>
      </c>
      <c r="C14" s="84">
        <v>66300</v>
      </c>
      <c r="D14" s="8">
        <v>46</v>
      </c>
      <c r="E14" s="77">
        <v>3049.8</v>
      </c>
      <c r="F14" s="78">
        <v>83.001306335728287</v>
      </c>
    </row>
    <row r="15" spans="1:6" x14ac:dyDescent="0.2">
      <c r="A15" s="15" t="s">
        <v>16</v>
      </c>
      <c r="B15" s="84">
        <v>17669</v>
      </c>
      <c r="C15" s="84">
        <v>17500</v>
      </c>
      <c r="D15" s="8">
        <v>37</v>
      </c>
      <c r="E15" s="77">
        <v>647.5</v>
      </c>
      <c r="F15" s="78">
        <v>17.621924667973001</v>
      </c>
    </row>
    <row r="16" spans="1:6" x14ac:dyDescent="0.2">
      <c r="A16" s="15" t="s">
        <v>17</v>
      </c>
      <c r="B16" s="84">
        <v>18126</v>
      </c>
      <c r="C16" s="84">
        <v>17900</v>
      </c>
      <c r="D16" s="8">
        <v>40</v>
      </c>
      <c r="E16" s="77">
        <v>716</v>
      </c>
      <c r="F16" s="78">
        <v>19.486174613542346</v>
      </c>
    </row>
    <row r="17" spans="1:6" x14ac:dyDescent="0.2">
      <c r="A17" s="15" t="s">
        <v>18</v>
      </c>
      <c r="B17" s="84">
        <v>18617</v>
      </c>
      <c r="C17" s="84">
        <v>18400</v>
      </c>
      <c r="D17" s="8">
        <v>37</v>
      </c>
      <c r="E17" s="77">
        <v>680.8</v>
      </c>
      <c r="F17" s="78">
        <v>18.528195079468755</v>
      </c>
    </row>
    <row r="18" spans="1:6" x14ac:dyDescent="0.2">
      <c r="A18" s="15" t="s">
        <v>19</v>
      </c>
      <c r="B18" s="84">
        <v>164307</v>
      </c>
      <c r="C18" s="84">
        <v>162300</v>
      </c>
      <c r="D18" s="8">
        <v>49</v>
      </c>
      <c r="E18" s="77">
        <v>7952.7</v>
      </c>
      <c r="F18" s="78">
        <v>216.43533638145004</v>
      </c>
    </row>
    <row r="19" spans="1:6" x14ac:dyDescent="0.2">
      <c r="A19" s="15" t="s">
        <v>20</v>
      </c>
      <c r="B19" s="84">
        <v>16263</v>
      </c>
      <c r="C19" s="84">
        <v>16100</v>
      </c>
      <c r="D19" s="8">
        <v>37</v>
      </c>
      <c r="E19" s="77">
        <v>595.70000000000005</v>
      </c>
      <c r="F19" s="78">
        <v>16.212170694535164</v>
      </c>
    </row>
    <row r="20" spans="1:6" x14ac:dyDescent="0.2">
      <c r="A20" s="15" t="s">
        <v>21</v>
      </c>
      <c r="B20" s="84">
        <v>97736</v>
      </c>
      <c r="C20" s="84">
        <v>96600</v>
      </c>
      <c r="D20" s="8">
        <v>51</v>
      </c>
      <c r="E20" s="77">
        <v>4926.6000000000004</v>
      </c>
      <c r="F20" s="78">
        <v>134.07903331156109</v>
      </c>
    </row>
    <row r="21" spans="1:6" x14ac:dyDescent="0.2">
      <c r="A21" s="15" t="s">
        <v>22</v>
      </c>
      <c r="B21" s="84">
        <v>68143</v>
      </c>
      <c r="C21" s="84">
        <v>67300</v>
      </c>
      <c r="D21" s="8">
        <v>37</v>
      </c>
      <c r="E21" s="77">
        <v>2490.1</v>
      </c>
      <c r="F21" s="78">
        <v>67.768887437404743</v>
      </c>
    </row>
    <row r="22" spans="1:6" x14ac:dyDescent="0.2">
      <c r="A22" s="15" t="s">
        <v>23</v>
      </c>
      <c r="B22" s="84">
        <v>25869</v>
      </c>
      <c r="C22" s="84">
        <v>25600</v>
      </c>
      <c r="D22" s="8">
        <v>44</v>
      </c>
      <c r="E22" s="77">
        <v>1126.4000000000001</v>
      </c>
      <c r="F22" s="78">
        <v>30.655345090354892</v>
      </c>
    </row>
    <row r="23" spans="1:6" x14ac:dyDescent="0.2">
      <c r="A23" s="15" t="s">
        <v>24</v>
      </c>
      <c r="B23" s="84">
        <v>81716</v>
      </c>
      <c r="C23" s="84">
        <v>80700</v>
      </c>
      <c r="D23" s="8">
        <v>47</v>
      </c>
      <c r="E23" s="77">
        <v>3792.9</v>
      </c>
      <c r="F23" s="78">
        <v>103.22501632919661</v>
      </c>
    </row>
    <row r="24" spans="1:6" ht="15.75" x14ac:dyDescent="0.25">
      <c r="A24" s="16" t="s">
        <v>25</v>
      </c>
      <c r="B24" s="85">
        <v>575574</v>
      </c>
      <c r="C24" s="85">
        <v>568700</v>
      </c>
      <c r="D24" s="86">
        <v>45.68049938456128</v>
      </c>
      <c r="E24" s="81">
        <v>25978.5</v>
      </c>
      <c r="F24" s="82">
        <v>707.01338994121488</v>
      </c>
    </row>
    <row r="25" spans="1:6" x14ac:dyDescent="0.2">
      <c r="A25" s="15" t="s">
        <v>26</v>
      </c>
      <c r="B25" s="84">
        <v>36749</v>
      </c>
      <c r="C25" s="84">
        <v>36300</v>
      </c>
      <c r="D25" s="8">
        <v>40</v>
      </c>
      <c r="E25" s="77">
        <v>1452</v>
      </c>
      <c r="F25" s="78">
        <v>39.516655780535601</v>
      </c>
    </row>
    <row r="26" spans="1:6" x14ac:dyDescent="0.2">
      <c r="A26" s="15" t="s">
        <v>27</v>
      </c>
      <c r="B26" s="84">
        <v>0</v>
      </c>
      <c r="C26" s="84" t="s">
        <v>65</v>
      </c>
      <c r="D26" s="84" t="s">
        <v>65</v>
      </c>
      <c r="E26" s="84" t="s">
        <v>65</v>
      </c>
      <c r="F26" s="84" t="s">
        <v>65</v>
      </c>
    </row>
    <row r="27" spans="1:6" x14ac:dyDescent="0.2">
      <c r="A27" s="15" t="s">
        <v>28</v>
      </c>
      <c r="B27" s="84" t="s">
        <v>63</v>
      </c>
      <c r="C27" s="84">
        <v>12100</v>
      </c>
      <c r="D27" s="8">
        <v>35</v>
      </c>
      <c r="E27" s="77">
        <v>423.5</v>
      </c>
      <c r="F27" s="78">
        <v>11.525691269322882</v>
      </c>
    </row>
    <row r="28" spans="1:6" x14ac:dyDescent="0.2">
      <c r="A28" s="15" t="s">
        <v>29</v>
      </c>
      <c r="B28" s="84">
        <v>19219</v>
      </c>
      <c r="C28" s="84">
        <v>19000</v>
      </c>
      <c r="D28" s="8">
        <v>39</v>
      </c>
      <c r="E28" s="77">
        <v>741</v>
      </c>
      <c r="F28" s="78">
        <v>20.166557805355975</v>
      </c>
    </row>
    <row r="29" spans="1:6" x14ac:dyDescent="0.2">
      <c r="A29" s="15" t="s">
        <v>30</v>
      </c>
      <c r="B29" s="84">
        <v>0</v>
      </c>
      <c r="C29" s="84" t="s">
        <v>65</v>
      </c>
      <c r="D29" s="84" t="s">
        <v>65</v>
      </c>
      <c r="E29" s="84" t="s">
        <v>65</v>
      </c>
      <c r="F29" s="84" t="s">
        <v>65</v>
      </c>
    </row>
    <row r="30" spans="1:6" x14ac:dyDescent="0.2">
      <c r="A30" s="15" t="s">
        <v>31</v>
      </c>
      <c r="B30" s="84">
        <v>26562</v>
      </c>
      <c r="C30" s="84">
        <v>26200</v>
      </c>
      <c r="D30" s="8">
        <v>40</v>
      </c>
      <c r="E30" s="77">
        <v>1048</v>
      </c>
      <c r="F30" s="78">
        <v>28.521663400827347</v>
      </c>
    </row>
    <row r="31" spans="1:6" x14ac:dyDescent="0.2">
      <c r="A31" s="15" t="s">
        <v>32</v>
      </c>
      <c r="B31" s="84" t="s">
        <v>63</v>
      </c>
      <c r="C31" s="84" t="s">
        <v>65</v>
      </c>
      <c r="D31" s="84" t="s">
        <v>65</v>
      </c>
      <c r="E31" s="84" t="s">
        <v>65</v>
      </c>
      <c r="F31" s="84" t="s">
        <v>65</v>
      </c>
    </row>
    <row r="32" spans="1:6" x14ac:dyDescent="0.2">
      <c r="A32" s="15" t="s">
        <v>33</v>
      </c>
      <c r="B32" s="84">
        <v>8099</v>
      </c>
      <c r="C32" s="84">
        <v>8000</v>
      </c>
      <c r="D32" s="8">
        <v>36</v>
      </c>
      <c r="E32" s="77">
        <v>288</v>
      </c>
      <c r="F32" s="78">
        <v>7.8380143696930116</v>
      </c>
    </row>
    <row r="33" spans="1:6" x14ac:dyDescent="0.2">
      <c r="A33" s="15" t="s">
        <v>34</v>
      </c>
      <c r="B33" s="84">
        <v>16810</v>
      </c>
      <c r="C33" s="84">
        <v>16600</v>
      </c>
      <c r="D33" s="8">
        <v>34</v>
      </c>
      <c r="E33" s="77">
        <v>564.4</v>
      </c>
      <c r="F33" s="78">
        <v>15.360330938384498</v>
      </c>
    </row>
    <row r="34" spans="1:6" x14ac:dyDescent="0.2">
      <c r="A34" s="15" t="s">
        <v>35</v>
      </c>
      <c r="B34" s="84">
        <v>23078</v>
      </c>
      <c r="C34" s="84">
        <v>22800</v>
      </c>
      <c r="D34" s="8">
        <v>35</v>
      </c>
      <c r="E34" s="77">
        <v>798</v>
      </c>
      <c r="F34" s="78">
        <v>21.71783148269105</v>
      </c>
    </row>
    <row r="35" spans="1:6" ht="15.75" x14ac:dyDescent="0.25">
      <c r="A35" s="16" t="s">
        <v>36</v>
      </c>
      <c r="B35" s="85">
        <v>142740</v>
      </c>
      <c r="C35" s="85">
        <v>141000</v>
      </c>
      <c r="D35" s="86">
        <v>37.694326241134753</v>
      </c>
      <c r="E35" s="81">
        <v>5314.9</v>
      </c>
      <c r="F35" s="82">
        <v>144.64674504681037</v>
      </c>
    </row>
    <row r="36" spans="1:6" x14ac:dyDescent="0.2">
      <c r="A36" s="15" t="s">
        <v>37</v>
      </c>
      <c r="B36" s="84">
        <v>4562</v>
      </c>
      <c r="C36" s="84">
        <v>4500</v>
      </c>
      <c r="D36" s="8">
        <v>36</v>
      </c>
      <c r="E36" s="77">
        <v>162</v>
      </c>
      <c r="F36" s="78">
        <v>4.4088830829523191</v>
      </c>
    </row>
    <row r="37" spans="1:6" x14ac:dyDescent="0.2">
      <c r="A37" s="15" t="s">
        <v>38</v>
      </c>
      <c r="B37" s="84">
        <v>5045</v>
      </c>
      <c r="C37" s="84">
        <v>5000</v>
      </c>
      <c r="D37" s="8">
        <v>41</v>
      </c>
      <c r="E37" s="77">
        <v>205</v>
      </c>
      <c r="F37" s="78">
        <v>5.5791421728717614</v>
      </c>
    </row>
    <row r="38" spans="1:6" x14ac:dyDescent="0.2">
      <c r="A38" s="15" t="s">
        <v>39</v>
      </c>
      <c r="B38" s="84">
        <v>13237</v>
      </c>
      <c r="C38" s="84">
        <v>13100</v>
      </c>
      <c r="D38" s="8">
        <v>38</v>
      </c>
      <c r="E38" s="77">
        <v>497.8</v>
      </c>
      <c r="F38" s="78">
        <v>13.54779011539299</v>
      </c>
    </row>
    <row r="39" spans="1:6" x14ac:dyDescent="0.2">
      <c r="A39" s="15" t="s">
        <v>40</v>
      </c>
      <c r="B39" s="84">
        <v>8185</v>
      </c>
      <c r="C39" s="84">
        <v>8100</v>
      </c>
      <c r="D39" s="8">
        <v>26</v>
      </c>
      <c r="E39" s="77">
        <v>210.6</v>
      </c>
      <c r="F39" s="78">
        <v>5.7315480078380139</v>
      </c>
    </row>
    <row r="40" spans="1:6" x14ac:dyDescent="0.2">
      <c r="A40" s="15" t="s">
        <v>41</v>
      </c>
      <c r="B40" s="84">
        <v>38037</v>
      </c>
      <c r="C40" s="84">
        <v>37600</v>
      </c>
      <c r="D40" s="8">
        <v>48</v>
      </c>
      <c r="E40" s="77">
        <v>1804.8</v>
      </c>
      <c r="F40" s="78">
        <v>49.118223383409536</v>
      </c>
    </row>
    <row r="41" spans="1:6" x14ac:dyDescent="0.2">
      <c r="A41" s="15" t="s">
        <v>42</v>
      </c>
      <c r="B41" s="84">
        <v>51632</v>
      </c>
      <c r="C41" s="84">
        <v>51000</v>
      </c>
      <c r="D41" s="8">
        <v>46</v>
      </c>
      <c r="E41" s="77">
        <v>2346</v>
      </c>
      <c r="F41" s="78">
        <v>63.84715871979099</v>
      </c>
    </row>
    <row r="42" spans="1:6" x14ac:dyDescent="0.2">
      <c r="A42" s="15" t="s">
        <v>43</v>
      </c>
      <c r="B42" s="84">
        <v>5229</v>
      </c>
      <c r="C42" s="84">
        <v>5200</v>
      </c>
      <c r="D42" s="8">
        <v>46</v>
      </c>
      <c r="E42" s="77">
        <v>239.2</v>
      </c>
      <c r="F42" s="78">
        <v>6.509906379272806</v>
      </c>
    </row>
    <row r="43" spans="1:6" x14ac:dyDescent="0.2">
      <c r="A43" s="15" t="s">
        <v>44</v>
      </c>
      <c r="B43" s="84">
        <v>83678</v>
      </c>
      <c r="C43" s="84">
        <v>82700</v>
      </c>
      <c r="D43" s="8">
        <v>47</v>
      </c>
      <c r="E43" s="77">
        <v>3886.9</v>
      </c>
      <c r="F43" s="78">
        <v>105.78325713041585</v>
      </c>
    </row>
    <row r="44" spans="1:6" ht="15.75" x14ac:dyDescent="0.25">
      <c r="A44" s="16" t="s">
        <v>45</v>
      </c>
      <c r="B44" s="85">
        <v>209605</v>
      </c>
      <c r="C44" s="85">
        <v>207200</v>
      </c>
      <c r="D44" s="86">
        <v>45.136583011583014</v>
      </c>
      <c r="E44" s="81">
        <v>9352.2999999999993</v>
      </c>
      <c r="F44" s="82">
        <v>254.52590899194425</v>
      </c>
    </row>
    <row r="45" spans="1:6" x14ac:dyDescent="0.2">
      <c r="A45" s="15" t="s">
        <v>46</v>
      </c>
      <c r="B45" s="84" t="s">
        <v>63</v>
      </c>
      <c r="C45" s="84" t="s">
        <v>65</v>
      </c>
      <c r="D45" s="84" t="s">
        <v>65</v>
      </c>
      <c r="E45" s="84" t="s">
        <v>65</v>
      </c>
      <c r="F45" s="84" t="s">
        <v>65</v>
      </c>
    </row>
    <row r="46" spans="1:6" x14ac:dyDescent="0.2">
      <c r="A46" s="15" t="s">
        <v>47</v>
      </c>
      <c r="B46" s="84">
        <v>0</v>
      </c>
      <c r="C46" s="84" t="s">
        <v>65</v>
      </c>
      <c r="D46" s="84" t="s">
        <v>65</v>
      </c>
      <c r="E46" s="84" t="s">
        <v>65</v>
      </c>
      <c r="F46" s="84" t="s">
        <v>65</v>
      </c>
    </row>
    <row r="47" spans="1:6" x14ac:dyDescent="0.2">
      <c r="A47" s="17" t="s">
        <v>48</v>
      </c>
      <c r="B47" s="84" t="s">
        <v>63</v>
      </c>
      <c r="C47" s="84" t="s">
        <v>65</v>
      </c>
      <c r="D47" s="84" t="s">
        <v>65</v>
      </c>
      <c r="E47" s="84" t="s">
        <v>65</v>
      </c>
      <c r="F47" s="84" t="s">
        <v>65</v>
      </c>
    </row>
    <row r="48" spans="1:6" x14ac:dyDescent="0.2">
      <c r="A48" s="15" t="s">
        <v>49</v>
      </c>
      <c r="B48" s="84" t="s">
        <v>63</v>
      </c>
      <c r="C48" s="84" t="s">
        <v>65</v>
      </c>
      <c r="D48" s="84" t="s">
        <v>65</v>
      </c>
      <c r="E48" s="84" t="s">
        <v>65</v>
      </c>
      <c r="F48" s="84" t="s">
        <v>65</v>
      </c>
    </row>
    <row r="49" spans="1:6" x14ac:dyDescent="0.2">
      <c r="A49" s="15" t="s">
        <v>50</v>
      </c>
      <c r="B49" s="84">
        <v>0</v>
      </c>
      <c r="C49" s="84" t="s">
        <v>65</v>
      </c>
      <c r="D49" s="8" t="s">
        <v>65</v>
      </c>
      <c r="E49" s="77" t="s">
        <v>65</v>
      </c>
      <c r="F49" s="78" t="s">
        <v>65</v>
      </c>
    </row>
    <row r="50" spans="1:6" x14ac:dyDescent="0.2">
      <c r="A50" s="15" t="s">
        <v>51</v>
      </c>
      <c r="B50" s="84">
        <v>477</v>
      </c>
      <c r="C50" s="84" t="s">
        <v>65</v>
      </c>
      <c r="D50" s="8" t="s">
        <v>65</v>
      </c>
      <c r="E50" s="77" t="s">
        <v>65</v>
      </c>
      <c r="F50" s="78" t="s">
        <v>65</v>
      </c>
    </row>
    <row r="51" spans="1:6" x14ac:dyDescent="0.2">
      <c r="A51" s="15" t="s">
        <v>52</v>
      </c>
      <c r="B51" s="84" t="s">
        <v>63</v>
      </c>
      <c r="C51" s="84" t="s">
        <v>65</v>
      </c>
      <c r="D51" s="84" t="s">
        <v>65</v>
      </c>
      <c r="E51" s="84" t="s">
        <v>65</v>
      </c>
      <c r="F51" s="84" t="s">
        <v>65</v>
      </c>
    </row>
    <row r="52" spans="1:6" x14ac:dyDescent="0.2">
      <c r="A52" s="15" t="s">
        <v>53</v>
      </c>
      <c r="B52" s="84" t="s">
        <v>63</v>
      </c>
      <c r="C52" s="84" t="s">
        <v>65</v>
      </c>
      <c r="D52" s="84" t="s">
        <v>65</v>
      </c>
      <c r="E52" s="84" t="s">
        <v>65</v>
      </c>
      <c r="F52" s="84" t="s">
        <v>65</v>
      </c>
    </row>
    <row r="53" spans="1:6" x14ac:dyDescent="0.2">
      <c r="A53" s="15" t="s">
        <v>54</v>
      </c>
      <c r="B53" s="84">
        <v>296</v>
      </c>
      <c r="C53" s="84" t="s">
        <v>65</v>
      </c>
      <c r="D53" s="8" t="s">
        <v>65</v>
      </c>
      <c r="E53" s="77" t="s">
        <v>65</v>
      </c>
      <c r="F53" s="78" t="s">
        <v>65</v>
      </c>
    </row>
    <row r="54" spans="1:6" x14ac:dyDescent="0.2">
      <c r="A54" s="15" t="s">
        <v>55</v>
      </c>
      <c r="B54" s="84">
        <v>2458</v>
      </c>
      <c r="C54" s="84" t="s">
        <v>65</v>
      </c>
      <c r="D54" s="8" t="s">
        <v>65</v>
      </c>
      <c r="E54" s="77" t="s">
        <v>65</v>
      </c>
      <c r="F54" s="78" t="s">
        <v>65</v>
      </c>
    </row>
    <row r="55" spans="1:6" ht="15.75" x14ac:dyDescent="0.25">
      <c r="A55" s="16" t="s">
        <v>56</v>
      </c>
      <c r="B55" s="85">
        <v>4385</v>
      </c>
      <c r="C55" s="85">
        <v>4300</v>
      </c>
      <c r="D55" s="86">
        <v>33.299999999999997</v>
      </c>
      <c r="E55" s="81">
        <v>143.19</v>
      </c>
      <c r="F55" s="82">
        <v>3.8969627694317439</v>
      </c>
    </row>
    <row r="56" spans="1:6" ht="16.5" thickBot="1" x14ac:dyDescent="0.3">
      <c r="A56" s="18" t="s">
        <v>0</v>
      </c>
      <c r="B56" s="87">
        <v>2155884</v>
      </c>
      <c r="C56" s="87">
        <v>2130000</v>
      </c>
      <c r="D56" s="88">
        <v>46.009338028169012</v>
      </c>
      <c r="E56" s="89">
        <v>97999.89</v>
      </c>
      <c r="F56" s="90">
        <v>2667.0991182233834</v>
      </c>
    </row>
    <row r="57" spans="1:6" ht="15.75" x14ac:dyDescent="0.25">
      <c r="A57" s="5"/>
      <c r="B57" s="6"/>
      <c r="C57" s="6">
        <v>2130000</v>
      </c>
      <c r="D57" s="73"/>
      <c r="E57" s="56"/>
      <c r="F57" s="83"/>
    </row>
    <row r="58" spans="1:6" x14ac:dyDescent="0.2">
      <c r="A58" s="8"/>
      <c r="B58" s="8"/>
      <c r="C58" s="64"/>
      <c r="D58" s="8"/>
      <c r="E58" s="8"/>
      <c r="F58" s="8"/>
    </row>
    <row r="59" spans="1:6" ht="15.75" x14ac:dyDescent="0.25">
      <c r="A59" s="10" t="s">
        <v>75</v>
      </c>
      <c r="B59" s="3"/>
      <c r="C59" s="3"/>
      <c r="D59" s="4"/>
      <c r="E59" s="3"/>
      <c r="F59" s="68"/>
    </row>
    <row r="60" spans="1:6" x14ac:dyDescent="0.2">
      <c r="B60" s="3"/>
      <c r="C60" s="3"/>
      <c r="D60" s="4"/>
      <c r="E60" s="3"/>
      <c r="F60" s="68"/>
    </row>
    <row r="61" spans="1:6" x14ac:dyDescent="0.2">
      <c r="A61" s="2"/>
      <c r="B61" s="3"/>
      <c r="C61" s="3"/>
      <c r="D61" s="4"/>
      <c r="E61" s="3"/>
      <c r="F61" s="68"/>
    </row>
    <row r="62" spans="1:6" x14ac:dyDescent="0.2">
      <c r="A62" s="2"/>
      <c r="B62" s="3"/>
      <c r="C62" s="3"/>
      <c r="D62" s="4"/>
      <c r="E62" s="3"/>
      <c r="F62" s="68"/>
    </row>
    <row r="63" spans="1:6" x14ac:dyDescent="0.2">
      <c r="A63" s="2"/>
      <c r="B63" s="3"/>
      <c r="C63" s="3"/>
      <c r="D63" s="4"/>
      <c r="E63" s="3"/>
      <c r="F63" s="68"/>
    </row>
    <row r="64" spans="1:6" x14ac:dyDescent="0.2">
      <c r="A64" s="2"/>
      <c r="B64" s="3"/>
      <c r="C64" s="3"/>
      <c r="D64" s="4"/>
      <c r="E64" s="3"/>
      <c r="F64" s="68"/>
    </row>
    <row r="65" spans="1:6" x14ac:dyDescent="0.2">
      <c r="A65" s="2"/>
      <c r="B65" s="3"/>
      <c r="C65" s="3"/>
      <c r="D65" s="4"/>
      <c r="E65" s="3"/>
      <c r="F65" s="68"/>
    </row>
    <row r="66" spans="1:6" x14ac:dyDescent="0.2">
      <c r="A66" s="2"/>
      <c r="B66" s="3"/>
      <c r="C66" s="3"/>
      <c r="D66" s="4"/>
      <c r="E66" s="3"/>
      <c r="F66" s="68"/>
    </row>
    <row r="67" spans="1:6" x14ac:dyDescent="0.2">
      <c r="A67" s="2"/>
      <c r="B67" s="3"/>
      <c r="C67" s="3"/>
      <c r="D67" s="4"/>
      <c r="E67" s="3"/>
      <c r="F67" s="68"/>
    </row>
    <row r="68" spans="1:6" x14ac:dyDescent="0.2">
      <c r="A68" s="2"/>
      <c r="B68" s="3"/>
      <c r="C68" s="3"/>
      <c r="D68" s="4"/>
      <c r="E68" s="3"/>
      <c r="F68" s="68"/>
    </row>
    <row r="69" spans="1:6" x14ac:dyDescent="0.2">
      <c r="A69" s="2"/>
      <c r="B69" s="3"/>
      <c r="C69" s="3"/>
      <c r="D69" s="4"/>
      <c r="E69" s="3"/>
      <c r="F69" s="68"/>
    </row>
    <row r="70" spans="1:6" x14ac:dyDescent="0.2">
      <c r="A70" s="2"/>
      <c r="B70" s="3"/>
      <c r="C70" s="3"/>
      <c r="D70" s="4"/>
      <c r="E70" s="3"/>
      <c r="F70" s="68"/>
    </row>
    <row r="71" spans="1:6" x14ac:dyDescent="0.2">
      <c r="A71" s="2"/>
      <c r="B71" s="3"/>
      <c r="C71" s="3"/>
      <c r="D71" s="4"/>
      <c r="E71" s="3"/>
      <c r="F71" s="68"/>
    </row>
    <row r="72" spans="1:6" x14ac:dyDescent="0.2">
      <c r="A72" s="2"/>
      <c r="B72" s="2"/>
      <c r="C72" s="2"/>
      <c r="D72" s="2"/>
      <c r="E72" s="2"/>
      <c r="F72" s="2"/>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row>
    <row r="83" spans="1:6" x14ac:dyDescent="0.2">
      <c r="A83" s="2"/>
    </row>
    <row r="84" spans="1:6" x14ac:dyDescent="0.2">
      <c r="A84" s="2"/>
    </row>
    <row r="85" spans="1:6" x14ac:dyDescent="0.2">
      <c r="A85" s="2"/>
    </row>
    <row r="86" spans="1:6" x14ac:dyDescent="0.2">
      <c r="A86" s="2"/>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2EDEE-654D-4978-A5AE-89592AB11225}">
  <dimension ref="A1:F86"/>
  <sheetViews>
    <sheetView workbookViewId="0">
      <selection activeCell="I30" sqref="I30"/>
    </sheetView>
  </sheetViews>
  <sheetFormatPr defaultRowHeight="15" x14ac:dyDescent="0.2"/>
  <cols>
    <col min="1" max="1" width="34.5546875" style="1" customWidth="1"/>
    <col min="2" max="2" width="13.77734375" style="1" customWidth="1"/>
    <col min="3" max="3" width="13.109375" style="1" customWidth="1"/>
    <col min="4" max="4" width="15.33203125" style="1" customWidth="1"/>
    <col min="5" max="5" width="14.6640625" style="1" customWidth="1"/>
    <col min="6" max="6" width="14.33203125" style="1" customWidth="1"/>
  </cols>
  <sheetData>
    <row r="1" spans="1:6" ht="16.5" thickBot="1" x14ac:dyDescent="0.3">
      <c r="A1" s="137" t="s">
        <v>97</v>
      </c>
      <c r="B1" s="138"/>
      <c r="C1" s="138"/>
      <c r="D1" s="138"/>
      <c r="E1" s="138"/>
      <c r="F1" s="138"/>
    </row>
    <row r="2" spans="1:6" ht="30.75" thickBot="1" x14ac:dyDescent="0.3">
      <c r="A2" s="91"/>
      <c r="B2" s="92" t="s">
        <v>59</v>
      </c>
      <c r="C2" s="92" t="s">
        <v>57</v>
      </c>
      <c r="D2" s="94" t="s">
        <v>3</v>
      </c>
      <c r="E2" s="94" t="s">
        <v>1</v>
      </c>
      <c r="F2" s="94" t="s">
        <v>2</v>
      </c>
    </row>
    <row r="3" spans="1:6" x14ac:dyDescent="0.2">
      <c r="A3" s="106" t="s">
        <v>98</v>
      </c>
      <c r="B3" s="107">
        <v>44700</v>
      </c>
      <c r="C3" s="107">
        <v>44700</v>
      </c>
      <c r="D3" s="108">
        <v>46</v>
      </c>
      <c r="E3" s="107">
        <v>2061</v>
      </c>
      <c r="F3" s="109">
        <v>56.1</v>
      </c>
    </row>
    <row r="4" spans="1:6" x14ac:dyDescent="0.2">
      <c r="A4" s="106" t="s">
        <v>99</v>
      </c>
      <c r="B4" s="107">
        <v>240300</v>
      </c>
      <c r="C4" s="107">
        <v>240300</v>
      </c>
      <c r="D4" s="108">
        <v>43</v>
      </c>
      <c r="E4" s="107">
        <v>10226</v>
      </c>
      <c r="F4" s="109">
        <v>278.3</v>
      </c>
    </row>
    <row r="5" spans="1:6" x14ac:dyDescent="0.2">
      <c r="A5" s="106" t="s">
        <v>100</v>
      </c>
      <c r="B5" s="107">
        <v>122200</v>
      </c>
      <c r="C5" s="107">
        <v>122200</v>
      </c>
      <c r="D5" s="108">
        <v>42</v>
      </c>
      <c r="E5" s="107">
        <v>5134</v>
      </c>
      <c r="F5" s="109">
        <v>139.69999999999999</v>
      </c>
    </row>
    <row r="6" spans="1:6" x14ac:dyDescent="0.2">
      <c r="A6" s="106" t="s">
        <v>101</v>
      </c>
      <c r="B6" s="107">
        <v>178400</v>
      </c>
      <c r="C6" s="107">
        <v>178400</v>
      </c>
      <c r="D6" s="108">
        <v>39</v>
      </c>
      <c r="E6" s="107">
        <v>6974</v>
      </c>
      <c r="F6" s="109">
        <v>189.8</v>
      </c>
    </row>
    <row r="7" spans="1:6" x14ac:dyDescent="0.2">
      <c r="A7" s="106" t="s">
        <v>102</v>
      </c>
      <c r="B7" s="107">
        <v>141800</v>
      </c>
      <c r="C7" s="107">
        <v>139900</v>
      </c>
      <c r="D7" s="108">
        <v>39</v>
      </c>
      <c r="E7" s="107">
        <v>5504</v>
      </c>
      <c r="F7" s="109">
        <v>149.80000000000001</v>
      </c>
    </row>
    <row r="8" spans="1:6" x14ac:dyDescent="0.2">
      <c r="A8" s="106" t="s">
        <v>103</v>
      </c>
      <c r="B8" s="107">
        <v>29100</v>
      </c>
      <c r="C8" s="107">
        <v>29100</v>
      </c>
      <c r="D8" s="108">
        <v>43</v>
      </c>
      <c r="E8" s="107">
        <v>1243</v>
      </c>
      <c r="F8" s="109">
        <v>33.799999999999997</v>
      </c>
    </row>
    <row r="9" spans="1:6" x14ac:dyDescent="0.2">
      <c r="A9" s="106" t="s">
        <v>104</v>
      </c>
      <c r="B9" s="107">
        <v>261000</v>
      </c>
      <c r="C9" s="107">
        <v>259800</v>
      </c>
      <c r="D9" s="108">
        <v>43</v>
      </c>
      <c r="E9" s="107">
        <v>11113</v>
      </c>
      <c r="F9" s="109">
        <v>302.5</v>
      </c>
    </row>
    <row r="10" spans="1:6" x14ac:dyDescent="0.2">
      <c r="A10" s="106" t="s">
        <v>105</v>
      </c>
      <c r="B10" s="107">
        <v>153800</v>
      </c>
      <c r="C10" s="107">
        <v>153800</v>
      </c>
      <c r="D10" s="108">
        <v>43</v>
      </c>
      <c r="E10" s="107">
        <v>6649</v>
      </c>
      <c r="F10" s="109">
        <v>180.9</v>
      </c>
    </row>
    <row r="11" spans="1:6" x14ac:dyDescent="0.2">
      <c r="A11" s="106" t="s">
        <v>106</v>
      </c>
      <c r="B11" s="107">
        <v>60800</v>
      </c>
      <c r="C11" s="107">
        <v>60800</v>
      </c>
      <c r="D11" s="108">
        <v>36</v>
      </c>
      <c r="E11" s="107">
        <v>2186</v>
      </c>
      <c r="F11" s="109">
        <v>59.5</v>
      </c>
    </row>
    <row r="12" spans="1:6" x14ac:dyDescent="0.2">
      <c r="A12" s="106" t="s">
        <v>107</v>
      </c>
      <c r="B12" s="107">
        <v>79800</v>
      </c>
      <c r="C12" s="107">
        <v>79800</v>
      </c>
      <c r="D12" s="108">
        <v>50</v>
      </c>
      <c r="E12" s="107">
        <v>3966</v>
      </c>
      <c r="F12" s="109">
        <v>107.9</v>
      </c>
    </row>
    <row r="13" spans="1:6" ht="15.75" x14ac:dyDescent="0.25">
      <c r="A13" s="110" t="s">
        <v>108</v>
      </c>
      <c r="B13" s="111">
        <v>1311900</v>
      </c>
      <c r="C13" s="111">
        <v>1308800</v>
      </c>
      <c r="D13" s="112">
        <v>42.1</v>
      </c>
      <c r="E13" s="111">
        <v>55056</v>
      </c>
      <c r="F13" s="113">
        <v>1498.4</v>
      </c>
    </row>
    <row r="14" spans="1:6" x14ac:dyDescent="0.2">
      <c r="A14" s="106" t="s">
        <v>109</v>
      </c>
      <c r="B14" s="107">
        <v>70400</v>
      </c>
      <c r="C14" s="107">
        <v>70400</v>
      </c>
      <c r="D14" s="108">
        <v>37</v>
      </c>
      <c r="E14" s="107">
        <v>2591</v>
      </c>
      <c r="F14" s="109">
        <v>70.5</v>
      </c>
    </row>
    <row r="15" spans="1:6" x14ac:dyDescent="0.2">
      <c r="A15" s="106" t="s">
        <v>110</v>
      </c>
      <c r="B15" s="107">
        <v>38400</v>
      </c>
      <c r="C15" s="107">
        <v>38400</v>
      </c>
      <c r="D15" s="108">
        <v>37</v>
      </c>
      <c r="E15" s="107">
        <v>1437</v>
      </c>
      <c r="F15" s="109">
        <v>39.1</v>
      </c>
    </row>
    <row r="16" spans="1:6" x14ac:dyDescent="0.2">
      <c r="A16" s="106" t="s">
        <v>111</v>
      </c>
      <c r="B16" s="107">
        <v>18800</v>
      </c>
      <c r="C16" s="107">
        <v>18800</v>
      </c>
      <c r="D16" s="108">
        <v>36</v>
      </c>
      <c r="E16" s="107">
        <v>678</v>
      </c>
      <c r="F16" s="109">
        <v>18.5</v>
      </c>
    </row>
    <row r="17" spans="1:6" x14ac:dyDescent="0.2">
      <c r="A17" s="106" t="s">
        <v>112</v>
      </c>
      <c r="B17" s="107">
        <v>23200</v>
      </c>
      <c r="C17" s="107">
        <v>23200</v>
      </c>
      <c r="D17" s="108">
        <v>32</v>
      </c>
      <c r="E17" s="107">
        <v>746</v>
      </c>
      <c r="F17" s="109">
        <v>20.3</v>
      </c>
    </row>
    <row r="18" spans="1:6" x14ac:dyDescent="0.2">
      <c r="A18" s="106" t="s">
        <v>113</v>
      </c>
      <c r="B18" s="107">
        <v>163000</v>
      </c>
      <c r="C18" s="107">
        <v>163000</v>
      </c>
      <c r="D18" s="108">
        <v>46</v>
      </c>
      <c r="E18" s="107">
        <v>7569</v>
      </c>
      <c r="F18" s="109">
        <v>206</v>
      </c>
    </row>
    <row r="19" spans="1:6" x14ac:dyDescent="0.2">
      <c r="A19" s="106" t="s">
        <v>114</v>
      </c>
      <c r="B19" s="107">
        <v>21400</v>
      </c>
      <c r="C19" s="107">
        <v>21000</v>
      </c>
      <c r="D19" s="108">
        <v>38</v>
      </c>
      <c r="E19" s="107">
        <v>806</v>
      </c>
      <c r="F19" s="109">
        <v>21.9</v>
      </c>
    </row>
    <row r="20" spans="1:6" x14ac:dyDescent="0.2">
      <c r="A20" s="106" t="s">
        <v>115</v>
      </c>
      <c r="B20" s="107">
        <v>83500</v>
      </c>
      <c r="C20" s="107">
        <v>83500</v>
      </c>
      <c r="D20" s="108">
        <v>49</v>
      </c>
      <c r="E20" s="107">
        <v>4123</v>
      </c>
      <c r="F20" s="109">
        <v>112.2</v>
      </c>
    </row>
    <row r="21" spans="1:6" x14ac:dyDescent="0.2">
      <c r="A21" s="106" t="s">
        <v>116</v>
      </c>
      <c r="B21" s="107">
        <v>77100</v>
      </c>
      <c r="C21" s="107">
        <v>77100</v>
      </c>
      <c r="D21" s="108">
        <v>36</v>
      </c>
      <c r="E21" s="107">
        <v>2772</v>
      </c>
      <c r="F21" s="109">
        <v>75.400000000000006</v>
      </c>
    </row>
    <row r="22" spans="1:6" x14ac:dyDescent="0.2">
      <c r="A22" s="106" t="s">
        <v>117</v>
      </c>
      <c r="B22" s="107">
        <v>34800</v>
      </c>
      <c r="C22" s="107">
        <v>34800</v>
      </c>
      <c r="D22" s="108">
        <v>43</v>
      </c>
      <c r="E22" s="107">
        <v>1503</v>
      </c>
      <c r="F22" s="109">
        <v>40.9</v>
      </c>
    </row>
    <row r="23" spans="1:6" x14ac:dyDescent="0.2">
      <c r="A23" s="106" t="s">
        <v>118</v>
      </c>
      <c r="B23" s="107">
        <v>64800</v>
      </c>
      <c r="C23" s="107">
        <v>64800</v>
      </c>
      <c r="D23" s="108">
        <v>40</v>
      </c>
      <c r="E23" s="107">
        <v>2578</v>
      </c>
      <c r="F23" s="109">
        <v>70.2</v>
      </c>
    </row>
    <row r="24" spans="1:6" ht="15.75" x14ac:dyDescent="0.25">
      <c r="A24" s="110" t="s">
        <v>119</v>
      </c>
      <c r="B24" s="111">
        <v>595400</v>
      </c>
      <c r="C24" s="111">
        <v>595000</v>
      </c>
      <c r="D24" s="112">
        <v>41.7</v>
      </c>
      <c r="E24" s="111">
        <v>24803</v>
      </c>
      <c r="F24" s="113">
        <v>675</v>
      </c>
    </row>
    <row r="25" spans="1:6" x14ac:dyDescent="0.2">
      <c r="A25" s="106" t="s">
        <v>120</v>
      </c>
      <c r="B25" s="107">
        <v>42000</v>
      </c>
      <c r="C25" s="107">
        <v>42000</v>
      </c>
      <c r="D25" s="108">
        <v>35</v>
      </c>
      <c r="E25" s="107">
        <v>1473</v>
      </c>
      <c r="F25" s="109">
        <v>40.1</v>
      </c>
    </row>
    <row r="26" spans="1:6" x14ac:dyDescent="0.2">
      <c r="A26" s="106" t="s">
        <v>121</v>
      </c>
      <c r="B26" s="107" t="s">
        <v>65</v>
      </c>
      <c r="C26" s="107" t="s">
        <v>65</v>
      </c>
      <c r="D26" s="108" t="s">
        <v>65</v>
      </c>
      <c r="E26" s="107" t="s">
        <v>65</v>
      </c>
      <c r="F26" s="109" t="s">
        <v>65</v>
      </c>
    </row>
    <row r="27" spans="1:6" x14ac:dyDescent="0.2">
      <c r="A27" s="106" t="s">
        <v>122</v>
      </c>
      <c r="B27" s="107">
        <v>10000</v>
      </c>
      <c r="C27" s="107">
        <v>10000</v>
      </c>
      <c r="D27" s="108">
        <v>30</v>
      </c>
      <c r="E27" s="107">
        <v>302</v>
      </c>
      <c r="F27" s="109">
        <v>8.1999999999999993</v>
      </c>
    </row>
    <row r="28" spans="1:6" x14ac:dyDescent="0.2">
      <c r="A28" s="106" t="s">
        <v>123</v>
      </c>
      <c r="B28" s="107">
        <v>29800</v>
      </c>
      <c r="C28" s="107">
        <v>29800</v>
      </c>
      <c r="D28" s="108">
        <v>31</v>
      </c>
      <c r="E28" s="107">
        <v>934</v>
      </c>
      <c r="F28" s="109">
        <v>25.4</v>
      </c>
    </row>
    <row r="29" spans="1:6" x14ac:dyDescent="0.2">
      <c r="A29" s="106" t="s">
        <v>124</v>
      </c>
      <c r="B29" s="107" t="s">
        <v>65</v>
      </c>
      <c r="C29" s="107" t="s">
        <v>65</v>
      </c>
      <c r="D29" s="108" t="s">
        <v>65</v>
      </c>
      <c r="E29" s="107" t="s">
        <v>65</v>
      </c>
      <c r="F29" s="109" t="s">
        <v>65</v>
      </c>
    </row>
    <row r="30" spans="1:6" x14ac:dyDescent="0.2">
      <c r="A30" s="106" t="s">
        <v>125</v>
      </c>
      <c r="B30" s="107">
        <v>26800</v>
      </c>
      <c r="C30" s="107">
        <v>26800</v>
      </c>
      <c r="D30" s="108">
        <v>33</v>
      </c>
      <c r="E30" s="107">
        <v>891</v>
      </c>
      <c r="F30" s="109">
        <v>24.2</v>
      </c>
    </row>
    <row r="31" spans="1:6" x14ac:dyDescent="0.2">
      <c r="A31" s="106" t="s">
        <v>126</v>
      </c>
      <c r="B31" s="107">
        <v>100</v>
      </c>
      <c r="C31" s="107">
        <v>100</v>
      </c>
      <c r="D31" s="108">
        <v>36</v>
      </c>
      <c r="E31" s="107">
        <v>4</v>
      </c>
      <c r="F31" s="109">
        <v>0.1</v>
      </c>
    </row>
    <row r="32" spans="1:6" x14ac:dyDescent="0.2">
      <c r="A32" s="106" t="s">
        <v>127</v>
      </c>
      <c r="B32" s="107">
        <v>10900</v>
      </c>
      <c r="C32" s="107">
        <v>10900</v>
      </c>
      <c r="D32" s="108">
        <v>31</v>
      </c>
      <c r="E32" s="107">
        <v>338</v>
      </c>
      <c r="F32" s="109">
        <v>9.1999999999999993</v>
      </c>
    </row>
    <row r="33" spans="1:6" x14ac:dyDescent="0.2">
      <c r="A33" s="106" t="s">
        <v>128</v>
      </c>
      <c r="B33" s="107">
        <v>23000</v>
      </c>
      <c r="C33" s="107">
        <v>23000</v>
      </c>
      <c r="D33" s="108">
        <v>29</v>
      </c>
      <c r="E33" s="107">
        <v>677</v>
      </c>
      <c r="F33" s="109">
        <v>18.399999999999999</v>
      </c>
    </row>
    <row r="34" spans="1:6" x14ac:dyDescent="0.2">
      <c r="A34" s="106" t="s">
        <v>129</v>
      </c>
      <c r="B34" s="107">
        <v>25300</v>
      </c>
      <c r="C34" s="107">
        <v>25300</v>
      </c>
      <c r="D34" s="108">
        <v>34</v>
      </c>
      <c r="E34" s="107">
        <v>858</v>
      </c>
      <c r="F34" s="109">
        <v>23.3</v>
      </c>
    </row>
    <row r="35" spans="1:6" ht="15.75" x14ac:dyDescent="0.25">
      <c r="A35" s="110" t="s">
        <v>130</v>
      </c>
      <c r="B35" s="111">
        <v>167900</v>
      </c>
      <c r="C35" s="111">
        <v>167900</v>
      </c>
      <c r="D35" s="112">
        <v>32.6</v>
      </c>
      <c r="E35" s="111">
        <v>5477</v>
      </c>
      <c r="F35" s="113">
        <v>149.1</v>
      </c>
    </row>
    <row r="36" spans="1:6" x14ac:dyDescent="0.2">
      <c r="A36" s="106" t="s">
        <v>131</v>
      </c>
      <c r="B36" s="107">
        <v>4900</v>
      </c>
      <c r="C36" s="107">
        <v>4900</v>
      </c>
      <c r="D36" s="114">
        <v>30</v>
      </c>
      <c r="E36" s="107">
        <v>146</v>
      </c>
      <c r="F36" s="109">
        <v>4</v>
      </c>
    </row>
    <row r="37" spans="1:6" x14ac:dyDescent="0.2">
      <c r="A37" s="106" t="s">
        <v>132</v>
      </c>
      <c r="B37" s="107">
        <v>7600</v>
      </c>
      <c r="C37" s="107">
        <v>7600</v>
      </c>
      <c r="D37" s="114">
        <v>27</v>
      </c>
      <c r="E37" s="107">
        <v>204</v>
      </c>
      <c r="F37" s="109">
        <v>5.5</v>
      </c>
    </row>
    <row r="38" spans="1:6" x14ac:dyDescent="0.2">
      <c r="A38" s="106" t="s">
        <v>133</v>
      </c>
      <c r="B38" s="107">
        <v>13300</v>
      </c>
      <c r="C38" s="107">
        <v>11400</v>
      </c>
      <c r="D38" s="114">
        <v>39</v>
      </c>
      <c r="E38" s="107">
        <v>439</v>
      </c>
      <c r="F38" s="109">
        <v>12</v>
      </c>
    </row>
    <row r="39" spans="1:6" x14ac:dyDescent="0.2">
      <c r="A39" s="106" t="s">
        <v>134</v>
      </c>
      <c r="B39" s="107">
        <v>11200</v>
      </c>
      <c r="C39" s="107">
        <v>10000</v>
      </c>
      <c r="D39" s="114">
        <v>23</v>
      </c>
      <c r="E39" s="107">
        <v>231</v>
      </c>
      <c r="F39" s="109">
        <v>6.3</v>
      </c>
    </row>
    <row r="40" spans="1:6" x14ac:dyDescent="0.2">
      <c r="A40" s="106" t="s">
        <v>135</v>
      </c>
      <c r="B40" s="107">
        <v>48000</v>
      </c>
      <c r="C40" s="107">
        <v>46000</v>
      </c>
      <c r="D40" s="114">
        <v>39</v>
      </c>
      <c r="E40" s="107">
        <v>1785</v>
      </c>
      <c r="F40" s="109">
        <v>48.6</v>
      </c>
    </row>
    <row r="41" spans="1:6" x14ac:dyDescent="0.2">
      <c r="A41" s="106" t="s">
        <v>136</v>
      </c>
      <c r="B41" s="107">
        <v>56300</v>
      </c>
      <c r="C41" s="107">
        <v>56300</v>
      </c>
      <c r="D41" s="114">
        <v>44</v>
      </c>
      <c r="E41" s="107">
        <v>2462</v>
      </c>
      <c r="F41" s="109">
        <v>67</v>
      </c>
    </row>
    <row r="42" spans="1:6" x14ac:dyDescent="0.2">
      <c r="A42" s="106" t="s">
        <v>137</v>
      </c>
      <c r="B42" s="107">
        <v>4300</v>
      </c>
      <c r="C42" s="107">
        <v>4300</v>
      </c>
      <c r="D42" s="114">
        <v>29</v>
      </c>
      <c r="E42" s="107">
        <v>124</v>
      </c>
      <c r="F42" s="109">
        <v>3.4</v>
      </c>
    </row>
    <row r="43" spans="1:6" x14ac:dyDescent="0.2">
      <c r="A43" s="106" t="s">
        <v>138</v>
      </c>
      <c r="B43" s="107">
        <v>101200</v>
      </c>
      <c r="C43" s="107">
        <v>99800</v>
      </c>
      <c r="D43" s="114">
        <v>42</v>
      </c>
      <c r="E43" s="107">
        <v>4171</v>
      </c>
      <c r="F43" s="109">
        <v>113.5</v>
      </c>
    </row>
    <row r="44" spans="1:6" ht="15.75" x14ac:dyDescent="0.25">
      <c r="A44" s="110" t="s">
        <v>139</v>
      </c>
      <c r="B44" s="111">
        <v>246800</v>
      </c>
      <c r="C44" s="111">
        <v>240300</v>
      </c>
      <c r="D44" s="112">
        <v>39.799999999999997</v>
      </c>
      <c r="E44" s="111">
        <v>9562</v>
      </c>
      <c r="F44" s="113">
        <v>260.2</v>
      </c>
    </row>
    <row r="45" spans="1:6" x14ac:dyDescent="0.2">
      <c r="A45" s="106" t="s">
        <v>140</v>
      </c>
      <c r="B45" s="107" t="s">
        <v>65</v>
      </c>
      <c r="C45" s="107" t="s">
        <v>65</v>
      </c>
      <c r="D45" s="108" t="s">
        <v>65</v>
      </c>
      <c r="E45" s="107" t="s">
        <v>65</v>
      </c>
      <c r="F45" s="109" t="s">
        <v>65</v>
      </c>
    </row>
    <row r="46" spans="1:6" x14ac:dyDescent="0.2">
      <c r="A46" s="106" t="s">
        <v>141</v>
      </c>
      <c r="B46" s="107" t="s">
        <v>65</v>
      </c>
      <c r="C46" s="107" t="s">
        <v>65</v>
      </c>
      <c r="D46" s="108" t="s">
        <v>65</v>
      </c>
      <c r="E46" s="107" t="s">
        <v>65</v>
      </c>
      <c r="F46" s="109" t="s">
        <v>65</v>
      </c>
    </row>
    <row r="47" spans="1:6" x14ac:dyDescent="0.2">
      <c r="A47" s="106" t="s">
        <v>142</v>
      </c>
      <c r="B47" s="107" t="s">
        <v>65</v>
      </c>
      <c r="C47" s="107" t="s">
        <v>65</v>
      </c>
      <c r="D47" s="108" t="s">
        <v>65</v>
      </c>
      <c r="E47" s="107" t="s">
        <v>65</v>
      </c>
      <c r="F47" s="109" t="s">
        <v>65</v>
      </c>
    </row>
    <row r="48" spans="1:6" x14ac:dyDescent="0.2">
      <c r="A48" s="106" t="s">
        <v>143</v>
      </c>
      <c r="B48" s="107" t="s">
        <v>65</v>
      </c>
      <c r="C48" s="107" t="s">
        <v>65</v>
      </c>
      <c r="D48" s="108" t="s">
        <v>65</v>
      </c>
      <c r="E48" s="107" t="s">
        <v>65</v>
      </c>
      <c r="F48" s="109" t="s">
        <v>65</v>
      </c>
    </row>
    <row r="49" spans="1:6" x14ac:dyDescent="0.2">
      <c r="A49" s="106" t="s">
        <v>144</v>
      </c>
      <c r="B49" s="107">
        <v>500</v>
      </c>
      <c r="C49" s="107">
        <v>500</v>
      </c>
      <c r="D49" s="108">
        <v>36</v>
      </c>
      <c r="E49" s="107">
        <v>18</v>
      </c>
      <c r="F49" s="109">
        <v>0.5</v>
      </c>
    </row>
    <row r="50" spans="1:6" x14ac:dyDescent="0.2">
      <c r="A50" s="106" t="s">
        <v>145</v>
      </c>
      <c r="B50" s="107">
        <v>100</v>
      </c>
      <c r="C50" s="107">
        <v>100</v>
      </c>
      <c r="D50" s="108">
        <v>26</v>
      </c>
      <c r="E50" s="107">
        <v>3</v>
      </c>
      <c r="F50" s="109">
        <v>0.1</v>
      </c>
    </row>
    <row r="51" spans="1:6" x14ac:dyDescent="0.2">
      <c r="A51" s="106" t="s">
        <v>146</v>
      </c>
      <c r="B51" s="107" t="s">
        <v>65</v>
      </c>
      <c r="C51" s="107" t="s">
        <v>65</v>
      </c>
      <c r="D51" s="108" t="s">
        <v>65</v>
      </c>
      <c r="E51" s="107" t="s">
        <v>65</v>
      </c>
      <c r="F51" s="109" t="s">
        <v>65</v>
      </c>
    </row>
    <row r="52" spans="1:6" x14ac:dyDescent="0.2">
      <c r="A52" s="106" t="s">
        <v>147</v>
      </c>
      <c r="B52" s="107" t="s">
        <v>65</v>
      </c>
      <c r="C52" s="107" t="s">
        <v>65</v>
      </c>
      <c r="D52" s="108" t="s">
        <v>65</v>
      </c>
      <c r="E52" s="107" t="s">
        <v>65</v>
      </c>
      <c r="F52" s="109" t="s">
        <v>65</v>
      </c>
    </row>
    <row r="53" spans="1:6" x14ac:dyDescent="0.2">
      <c r="A53" s="106" t="s">
        <v>148</v>
      </c>
      <c r="B53" s="107">
        <v>100</v>
      </c>
      <c r="C53" s="107">
        <v>100</v>
      </c>
      <c r="D53" s="108">
        <v>26</v>
      </c>
      <c r="E53" s="107">
        <v>3</v>
      </c>
      <c r="F53" s="109">
        <v>0.1</v>
      </c>
    </row>
    <row r="54" spans="1:6" x14ac:dyDescent="0.2">
      <c r="A54" s="106" t="s">
        <v>149</v>
      </c>
      <c r="B54" s="107">
        <v>2300</v>
      </c>
      <c r="C54" s="107">
        <v>2300</v>
      </c>
      <c r="D54" s="108">
        <v>34</v>
      </c>
      <c r="E54" s="107">
        <v>78</v>
      </c>
      <c r="F54" s="109">
        <v>2.1</v>
      </c>
    </row>
    <row r="55" spans="1:6" ht="15.75" x14ac:dyDescent="0.25">
      <c r="A55" s="110" t="s">
        <v>150</v>
      </c>
      <c r="B55" s="111">
        <v>3000</v>
      </c>
      <c r="C55" s="111">
        <v>3000</v>
      </c>
      <c r="D55" s="112">
        <v>34</v>
      </c>
      <c r="E55" s="111">
        <v>102</v>
      </c>
      <c r="F55" s="113">
        <v>2.8</v>
      </c>
    </row>
    <row r="56" spans="1:6" ht="15.75" x14ac:dyDescent="0.25">
      <c r="A56" s="110" t="s">
        <v>0</v>
      </c>
      <c r="B56" s="111">
        <v>2325000</v>
      </c>
      <c r="C56" s="111">
        <v>2315000</v>
      </c>
      <c r="D56" s="112">
        <v>41</v>
      </c>
      <c r="E56" s="111">
        <v>95000</v>
      </c>
      <c r="F56" s="113">
        <v>2585.5</v>
      </c>
    </row>
    <row r="57" spans="1:6" x14ac:dyDescent="0.2">
      <c r="A57" s="8"/>
      <c r="B57" s="8"/>
      <c r="C57" s="64"/>
      <c r="D57" s="8"/>
      <c r="E57" s="8"/>
      <c r="F57" s="8"/>
    </row>
    <row r="58" spans="1:6" x14ac:dyDescent="0.2">
      <c r="A58" s="2"/>
      <c r="B58" s="69"/>
      <c r="C58" s="69"/>
      <c r="D58" s="103"/>
      <c r="E58" s="69"/>
      <c r="F58" s="70"/>
    </row>
    <row r="59" spans="1:6" x14ac:dyDescent="0.2">
      <c r="A59" s="2"/>
      <c r="B59" s="3"/>
      <c r="C59" s="3"/>
      <c r="D59" s="4"/>
      <c r="E59" s="3"/>
      <c r="F59" s="68"/>
    </row>
    <row r="60" spans="1:6" x14ac:dyDescent="0.2">
      <c r="A60" s="61" t="s">
        <v>75</v>
      </c>
      <c r="B60" s="3"/>
      <c r="C60" s="3"/>
      <c r="D60" s="4"/>
      <c r="E60" s="3"/>
      <c r="F60" s="68"/>
    </row>
    <row r="61" spans="1:6" x14ac:dyDescent="0.2">
      <c r="A61" s="2"/>
      <c r="B61" s="3"/>
      <c r="C61" s="3"/>
      <c r="D61" s="4"/>
      <c r="E61" s="3"/>
      <c r="F61" s="68"/>
    </row>
    <row r="62" spans="1:6" x14ac:dyDescent="0.2">
      <c r="A62" s="2"/>
      <c r="B62" s="3"/>
      <c r="C62" s="3"/>
      <c r="D62" s="4"/>
      <c r="E62" s="3"/>
      <c r="F62" s="68"/>
    </row>
    <row r="63" spans="1:6" x14ac:dyDescent="0.2">
      <c r="A63" s="2"/>
      <c r="B63" s="3"/>
      <c r="C63" s="3"/>
      <c r="D63" s="4"/>
      <c r="E63" s="3"/>
      <c r="F63" s="68"/>
    </row>
    <row r="64" spans="1:6" x14ac:dyDescent="0.2">
      <c r="A64" s="2"/>
      <c r="B64" s="3"/>
      <c r="C64" s="3"/>
      <c r="D64" s="4"/>
      <c r="E64" s="3"/>
      <c r="F64" s="68"/>
    </row>
    <row r="65" spans="1:6" x14ac:dyDescent="0.2">
      <c r="A65" s="2"/>
      <c r="B65" s="3"/>
      <c r="C65" s="3"/>
      <c r="D65" s="4"/>
      <c r="E65" s="3"/>
      <c r="F65" s="68"/>
    </row>
    <row r="66" spans="1:6" x14ac:dyDescent="0.2">
      <c r="A66" s="2"/>
      <c r="B66" s="3"/>
      <c r="C66" s="3"/>
      <c r="D66" s="4"/>
      <c r="E66" s="3"/>
      <c r="F66" s="68"/>
    </row>
    <row r="67" spans="1:6" x14ac:dyDescent="0.2">
      <c r="A67" s="2"/>
      <c r="B67" s="3"/>
      <c r="C67" s="3"/>
      <c r="D67" s="4"/>
      <c r="E67" s="3"/>
      <c r="F67" s="68"/>
    </row>
    <row r="68" spans="1:6" x14ac:dyDescent="0.2">
      <c r="A68" s="2"/>
      <c r="B68" s="3"/>
      <c r="C68" s="3"/>
      <c r="D68" s="4"/>
      <c r="E68" s="3"/>
      <c r="F68" s="68"/>
    </row>
    <row r="69" spans="1:6" x14ac:dyDescent="0.2">
      <c r="A69" s="2"/>
      <c r="B69" s="3"/>
      <c r="C69" s="3"/>
      <c r="D69" s="4"/>
      <c r="E69" s="3"/>
      <c r="F69" s="68"/>
    </row>
    <row r="70" spans="1:6" x14ac:dyDescent="0.2">
      <c r="A70" s="2"/>
      <c r="B70" s="3"/>
      <c r="C70" s="3"/>
      <c r="D70" s="4"/>
      <c r="E70" s="3"/>
      <c r="F70" s="68"/>
    </row>
    <row r="71" spans="1:6" x14ac:dyDescent="0.2">
      <c r="A71" s="2"/>
      <c r="B71" s="3"/>
      <c r="C71" s="3"/>
      <c r="D71" s="4"/>
      <c r="E71" s="3"/>
      <c r="F71" s="68"/>
    </row>
    <row r="72" spans="1:6" x14ac:dyDescent="0.2">
      <c r="A72" s="2"/>
      <c r="B72" s="2"/>
      <c r="C72" s="2"/>
      <c r="D72" s="2"/>
      <c r="E72" s="2"/>
      <c r="F72" s="2"/>
    </row>
    <row r="73" spans="1:6" x14ac:dyDescent="0.2">
      <c r="A73" s="2"/>
      <c r="B73" s="2"/>
      <c r="C73" s="2"/>
      <c r="D73" s="2"/>
      <c r="E73" s="2"/>
      <c r="F73" s="2"/>
    </row>
    <row r="74" spans="1:6" x14ac:dyDescent="0.2">
      <c r="A74" s="2"/>
      <c r="B74" s="2"/>
      <c r="C74" s="2"/>
      <c r="D74" s="2"/>
      <c r="E74" s="2"/>
      <c r="F74" s="2"/>
    </row>
    <row r="75" spans="1:6" x14ac:dyDescent="0.2">
      <c r="A75" s="2"/>
      <c r="B75" s="2"/>
      <c r="C75" s="2"/>
      <c r="D75" s="2"/>
      <c r="E75" s="2"/>
      <c r="F75" s="2"/>
    </row>
    <row r="76" spans="1:6" x14ac:dyDescent="0.2">
      <c r="A76" s="2"/>
      <c r="B76" s="2"/>
      <c r="C76" s="2"/>
      <c r="D76" s="2"/>
      <c r="E76" s="2"/>
      <c r="F76" s="2"/>
    </row>
    <row r="77" spans="1:6" x14ac:dyDescent="0.2">
      <c r="A77" s="2"/>
      <c r="B77" s="2"/>
      <c r="C77" s="2"/>
      <c r="D77" s="2"/>
      <c r="E77" s="2"/>
      <c r="F77" s="2"/>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row>
    <row r="83" spans="1:6" x14ac:dyDescent="0.2">
      <c r="A83" s="2"/>
    </row>
    <row r="84" spans="1:6" x14ac:dyDescent="0.2">
      <c r="A84" s="2"/>
    </row>
    <row r="85" spans="1:6" x14ac:dyDescent="0.2">
      <c r="A85" s="2"/>
    </row>
    <row r="86" spans="1:6" x14ac:dyDescent="0.2">
      <c r="A86" s="2"/>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831C5-4A34-4091-BDCD-16C39164B9F8}">
  <dimension ref="A1:F87"/>
  <sheetViews>
    <sheetView workbookViewId="0">
      <selection activeCell="J21" sqref="J21"/>
    </sheetView>
  </sheetViews>
  <sheetFormatPr defaultRowHeight="15" x14ac:dyDescent="0.2"/>
  <cols>
    <col min="1" max="1" width="33.88671875" style="1" bestFit="1" customWidth="1"/>
    <col min="2" max="2" width="20.5546875" style="1" bestFit="1" customWidth="1"/>
    <col min="3" max="3" width="16.5546875" style="1" bestFit="1" customWidth="1"/>
    <col min="4" max="4" width="11.77734375" style="1" bestFit="1" customWidth="1"/>
    <col min="5" max="5" width="9.88671875" style="1" bestFit="1" customWidth="1"/>
    <col min="6" max="6" width="11.5546875" style="1" bestFit="1" customWidth="1"/>
  </cols>
  <sheetData>
    <row r="1" spans="1:6" ht="16.5" thickBot="1" x14ac:dyDescent="0.3">
      <c r="A1" s="137" t="s">
        <v>151</v>
      </c>
      <c r="B1" s="138"/>
      <c r="C1" s="138"/>
      <c r="D1" s="138"/>
      <c r="E1" s="138"/>
      <c r="F1" s="138"/>
    </row>
    <row r="2" spans="1:6" ht="45" x14ac:dyDescent="0.25">
      <c r="A2" s="122"/>
      <c r="B2" s="123" t="s">
        <v>59</v>
      </c>
      <c r="C2" s="123" t="s">
        <v>57</v>
      </c>
      <c r="D2" s="124" t="s">
        <v>3</v>
      </c>
      <c r="E2" s="124" t="s">
        <v>1</v>
      </c>
      <c r="F2" s="124" t="s">
        <v>2</v>
      </c>
    </row>
    <row r="3" spans="1:6" x14ac:dyDescent="0.2">
      <c r="A3" s="125" t="s">
        <v>98</v>
      </c>
      <c r="B3" s="126">
        <f>[1]E!B3</f>
        <v>48000</v>
      </c>
      <c r="C3" s="126">
        <f>[1]E!C3</f>
        <v>45200</v>
      </c>
      <c r="D3" s="127">
        <f>[1]E!D3</f>
        <v>35.591688735817996</v>
      </c>
      <c r="E3" s="127">
        <f>[1]E!E3</f>
        <v>1608.74</v>
      </c>
      <c r="F3" s="128">
        <f>[1]E!F3</f>
        <v>43.782386239930332</v>
      </c>
    </row>
    <row r="4" spans="1:6" x14ac:dyDescent="0.2">
      <c r="A4" s="125" t="s">
        <v>99</v>
      </c>
      <c r="B4" s="126">
        <f>[1]E!B4</f>
        <v>245800</v>
      </c>
      <c r="C4" s="126">
        <f>[1]E!C4</f>
        <v>244800</v>
      </c>
      <c r="D4" s="127">
        <f>[1]E!D4</f>
        <v>43.863999875600058</v>
      </c>
      <c r="E4" s="127">
        <f>[1]E!E4</f>
        <v>10737.91</v>
      </c>
      <c r="F4" s="128">
        <f>[1]E!F4</f>
        <v>292.23573916829957</v>
      </c>
    </row>
    <row r="5" spans="1:6" x14ac:dyDescent="0.2">
      <c r="A5" s="125" t="s">
        <v>100</v>
      </c>
      <c r="B5" s="126">
        <f>[1]E!B5</f>
        <v>111300</v>
      </c>
      <c r="C5" s="126">
        <f>[1]E!C5</f>
        <v>111300</v>
      </c>
      <c r="D5" s="127">
        <f>[1]E!D5</f>
        <v>40.650425731583354</v>
      </c>
      <c r="E5" s="127">
        <f>[1]E!E5</f>
        <v>4524.3900000000003</v>
      </c>
      <c r="F5" s="128">
        <f>[1]E!F5</f>
        <v>123.13275636838668</v>
      </c>
    </row>
    <row r="6" spans="1:6" x14ac:dyDescent="0.2">
      <c r="A6" s="125" t="s">
        <v>101</v>
      </c>
      <c r="B6" s="126">
        <f>[1]E!B6</f>
        <v>182100</v>
      </c>
      <c r="C6" s="126">
        <f>[1]E!C6</f>
        <v>182100</v>
      </c>
      <c r="D6" s="127">
        <f>[1]E!D6</f>
        <v>40.734774090620135</v>
      </c>
      <c r="E6" s="127">
        <f>[1]E!E6</f>
        <v>7417.8</v>
      </c>
      <c r="F6" s="128">
        <f>[1]E!F6</f>
        <v>201.87785760940562</v>
      </c>
    </row>
    <row r="7" spans="1:6" x14ac:dyDescent="0.2">
      <c r="A7" s="125" t="s">
        <v>102</v>
      </c>
      <c r="B7" s="126">
        <f>[1]E!B7</f>
        <v>148900</v>
      </c>
      <c r="C7" s="126">
        <f>[1]E!C7</f>
        <v>147500</v>
      </c>
      <c r="D7" s="127">
        <f>[1]E!D7</f>
        <v>35.272014234870227</v>
      </c>
      <c r="E7" s="127">
        <f>[1]E!E7</f>
        <v>5202.62</v>
      </c>
      <c r="F7" s="128">
        <f>[1]E!F7</f>
        <v>141.59100805573698</v>
      </c>
    </row>
    <row r="8" spans="1:6" x14ac:dyDescent="0.2">
      <c r="A8" s="125" t="s">
        <v>103</v>
      </c>
      <c r="B8" s="126">
        <f>[1]E!B8</f>
        <v>28400</v>
      </c>
      <c r="C8" s="126">
        <f>[1]E!C8</f>
        <v>27500</v>
      </c>
      <c r="D8" s="127">
        <f>[1]E!D8</f>
        <v>32.445146365324831</v>
      </c>
      <c r="E8" s="127">
        <f>[1]E!E8</f>
        <v>892.24</v>
      </c>
      <c r="F8" s="128">
        <f>[1]E!F8</f>
        <v>24.282603962551711</v>
      </c>
    </row>
    <row r="9" spans="1:6" x14ac:dyDescent="0.2">
      <c r="A9" s="125" t="s">
        <v>104</v>
      </c>
      <c r="B9" s="126">
        <f>[1]E!B9</f>
        <v>257100</v>
      </c>
      <c r="C9" s="126">
        <f>[1]E!C9</f>
        <v>257100</v>
      </c>
      <c r="D9" s="127">
        <f>[1]E!D9</f>
        <v>42.937028482393679</v>
      </c>
      <c r="E9" s="127">
        <f>[1]E!E9</f>
        <v>11039.11</v>
      </c>
      <c r="F9" s="128">
        <f>[1]E!F9</f>
        <v>300.43299586327021</v>
      </c>
    </row>
    <row r="10" spans="1:6" x14ac:dyDescent="0.2">
      <c r="A10" s="125" t="s">
        <v>105</v>
      </c>
      <c r="B10" s="126">
        <f>[1]E!B10</f>
        <v>158900</v>
      </c>
      <c r="C10" s="126">
        <f>[1]E!C10</f>
        <v>156900</v>
      </c>
      <c r="D10" s="127">
        <f>[1]E!D10</f>
        <v>41.093724286182606</v>
      </c>
      <c r="E10" s="127">
        <f>[1]E!E10</f>
        <v>6447.61</v>
      </c>
      <c r="F10" s="128">
        <f>[1]E!F10</f>
        <v>175.47381885477901</v>
      </c>
    </row>
    <row r="11" spans="1:6" x14ac:dyDescent="0.2">
      <c r="A11" s="125" t="s">
        <v>106</v>
      </c>
      <c r="B11" s="126">
        <f>[1]E!B11</f>
        <v>61700</v>
      </c>
      <c r="C11" s="126">
        <f>[1]E!C11</f>
        <v>60000</v>
      </c>
      <c r="D11" s="127">
        <f>[1]E!D11</f>
        <v>37.952946962860366</v>
      </c>
      <c r="E11" s="127">
        <f>[1]E!E11</f>
        <v>2277.1799999999998</v>
      </c>
      <c r="F11" s="128">
        <f>[1]E!F11</f>
        <v>61.974199869366423</v>
      </c>
    </row>
    <row r="12" spans="1:6" x14ac:dyDescent="0.2">
      <c r="A12" s="125" t="s">
        <v>107</v>
      </c>
      <c r="B12" s="126">
        <f>[1]E!B12</f>
        <v>84600</v>
      </c>
      <c r="C12" s="126">
        <f>[1]E!C12</f>
        <v>83600</v>
      </c>
      <c r="D12" s="127">
        <f>[1]E!D12</f>
        <v>41.933106973896429</v>
      </c>
      <c r="E12" s="127">
        <f>[1]E!E12</f>
        <v>3505.61</v>
      </c>
      <c r="F12" s="128">
        <f>[1]E!F12</f>
        <v>95.406324842151108</v>
      </c>
    </row>
    <row r="13" spans="1:6" ht="15.75" x14ac:dyDescent="0.25">
      <c r="A13" s="129" t="s">
        <v>108</v>
      </c>
      <c r="B13" s="130">
        <f>[1]E!B13</f>
        <v>1326800</v>
      </c>
      <c r="C13" s="130">
        <f>[1]E!C13</f>
        <v>1316000</v>
      </c>
      <c r="D13" s="131">
        <f>[1]E!D13</f>
        <v>40.770516717325229</v>
      </c>
      <c r="E13" s="130">
        <f>[1]E!E13</f>
        <v>53654</v>
      </c>
      <c r="F13" s="131">
        <f>[1]E!F13</f>
        <v>1460.211190942739</v>
      </c>
    </row>
    <row r="14" spans="1:6" x14ac:dyDescent="0.2">
      <c r="A14" s="125" t="s">
        <v>109</v>
      </c>
      <c r="B14" s="126">
        <f>[1]E!B14</f>
        <v>85300</v>
      </c>
      <c r="C14" s="126">
        <f>[1]E!C14</f>
        <v>84200</v>
      </c>
      <c r="D14" s="127">
        <f>[1]E!D14</f>
        <v>39.147474244109418</v>
      </c>
      <c r="E14" s="127">
        <f>[1]E!E14</f>
        <v>3296.22</v>
      </c>
      <c r="F14" s="128">
        <f>[1]E!F14</f>
        <v>89.707707380796862</v>
      </c>
    </row>
    <row r="15" spans="1:6" x14ac:dyDescent="0.2">
      <c r="A15" s="125" t="s">
        <v>110</v>
      </c>
      <c r="B15" s="126">
        <f>[1]E!B15</f>
        <v>24600</v>
      </c>
      <c r="C15" s="126">
        <f>[1]E!C15</f>
        <v>24000</v>
      </c>
      <c r="D15" s="127">
        <f>[1]E!D15</f>
        <v>29.96028257391939</v>
      </c>
      <c r="E15" s="127">
        <f>[1]E!E15</f>
        <v>719.05</v>
      </c>
      <c r="F15" s="128">
        <f>[1]E!F15</f>
        <v>19.56918136294361</v>
      </c>
    </row>
    <row r="16" spans="1:6" x14ac:dyDescent="0.2">
      <c r="A16" s="125" t="s">
        <v>111</v>
      </c>
      <c r="B16" s="126">
        <f>[1]E!B16</f>
        <v>23900</v>
      </c>
      <c r="C16" s="126">
        <f>[1]E!C16</f>
        <v>23400</v>
      </c>
      <c r="D16" s="127">
        <f>[1]E!D16</f>
        <v>32.360471133179104</v>
      </c>
      <c r="E16" s="127">
        <f>[1]E!E16</f>
        <v>757.24</v>
      </c>
      <c r="F16" s="128">
        <f>[1]E!F16</f>
        <v>20.608534726758112</v>
      </c>
    </row>
    <row r="17" spans="1:6" x14ac:dyDescent="0.2">
      <c r="A17" s="125" t="s">
        <v>112</v>
      </c>
      <c r="B17" s="126">
        <f>[1]E!B17</f>
        <v>23500</v>
      </c>
      <c r="C17" s="126">
        <f>[1]E!C17</f>
        <v>22700</v>
      </c>
      <c r="D17" s="127">
        <f>[1]E!D17</f>
        <v>32.592149196481643</v>
      </c>
      <c r="E17" s="127">
        <f>[1]E!E17</f>
        <v>739.84</v>
      </c>
      <c r="F17" s="128">
        <f>[1]E!F17</f>
        <v>20.134988025255826</v>
      </c>
    </row>
    <row r="18" spans="1:6" x14ac:dyDescent="0.2">
      <c r="A18" s="125" t="s">
        <v>113</v>
      </c>
      <c r="B18" s="126">
        <f>[1]E!B18</f>
        <v>162900</v>
      </c>
      <c r="C18" s="126">
        <f>[1]E!C18</f>
        <v>162900</v>
      </c>
      <c r="D18" s="127">
        <f>[1]E!D18</f>
        <v>44.409078090033347</v>
      </c>
      <c r="E18" s="127">
        <f>[1]E!E18</f>
        <v>7234.24</v>
      </c>
      <c r="F18" s="128">
        <f>[1]E!F18</f>
        <v>196.88221206183323</v>
      </c>
    </row>
    <row r="19" spans="1:6" x14ac:dyDescent="0.2">
      <c r="A19" s="125" t="s">
        <v>114</v>
      </c>
      <c r="B19" s="126">
        <f>[1]E!B19</f>
        <v>16100</v>
      </c>
      <c r="C19" s="126">
        <f>[1]E!C19</f>
        <v>15300</v>
      </c>
      <c r="D19" s="127">
        <f>[1]E!D19</f>
        <v>37.334113085051705</v>
      </c>
      <c r="E19" s="127">
        <f>[1]E!E19</f>
        <v>571.21</v>
      </c>
      <c r="F19" s="128">
        <f>[1]E!F19</f>
        <v>15.545667319834532</v>
      </c>
    </row>
    <row r="20" spans="1:6" x14ac:dyDescent="0.2">
      <c r="A20" s="125" t="s">
        <v>115</v>
      </c>
      <c r="B20" s="126">
        <f>[1]E!B20</f>
        <v>89200</v>
      </c>
      <c r="C20" s="126">
        <f>[1]E!C20</f>
        <v>89200</v>
      </c>
      <c r="D20" s="127">
        <f>[1]E!D20</f>
        <v>43.819413585315566</v>
      </c>
      <c r="E20" s="127">
        <f>[1]E!E20</f>
        <v>3908.69</v>
      </c>
      <c r="F20" s="128">
        <f>[1]E!F20</f>
        <v>106.37627912040061</v>
      </c>
    </row>
    <row r="21" spans="1:6" x14ac:dyDescent="0.2">
      <c r="A21" s="125" t="s">
        <v>116</v>
      </c>
      <c r="B21" s="126">
        <f>[1]E!B21</f>
        <v>63700</v>
      </c>
      <c r="C21" s="126">
        <f>[1]E!C21</f>
        <v>62700</v>
      </c>
      <c r="D21" s="127">
        <f>[1]E!D21</f>
        <v>33.62920775928518</v>
      </c>
      <c r="E21" s="127">
        <f>[1]E!E21</f>
        <v>2108.5500000000002</v>
      </c>
      <c r="F21" s="128">
        <f>[1]E!F21</f>
        <v>57.384879163945136</v>
      </c>
    </row>
    <row r="22" spans="1:6" x14ac:dyDescent="0.2">
      <c r="A22" s="125" t="s">
        <v>117</v>
      </c>
      <c r="B22" s="126">
        <f>[1]E!B22</f>
        <v>35400</v>
      </c>
      <c r="C22" s="126">
        <f>[1]E!C22</f>
        <v>34600</v>
      </c>
      <c r="D22" s="127">
        <f>[1]E!D22</f>
        <v>38.589952283897198</v>
      </c>
      <c r="E22" s="127">
        <f>[1]E!E22</f>
        <v>1335.21</v>
      </c>
      <c r="F22" s="128">
        <f>[1]E!F22</f>
        <v>36.338177661659046</v>
      </c>
    </row>
    <row r="23" spans="1:6" x14ac:dyDescent="0.2">
      <c r="A23" s="125" t="s">
        <v>118</v>
      </c>
      <c r="B23" s="126">
        <f>[1]E!B23</f>
        <v>77800</v>
      </c>
      <c r="C23" s="126">
        <f>[1]E!C23</f>
        <v>76600</v>
      </c>
      <c r="D23" s="127">
        <f>[1]E!D23</f>
        <v>37.068098528613248</v>
      </c>
      <c r="E23" s="127">
        <f>[1]E!E23</f>
        <v>2839.42</v>
      </c>
      <c r="F23" s="128">
        <f>[1]E!F23</f>
        <v>77.275745699978231</v>
      </c>
    </row>
    <row r="24" spans="1:6" ht="15.75" x14ac:dyDescent="0.25">
      <c r="A24" s="129" t="s">
        <v>119</v>
      </c>
      <c r="B24" s="130">
        <f>[1]E!B24</f>
        <v>602400</v>
      </c>
      <c r="C24" s="130">
        <f>[1]E!C24</f>
        <v>595600</v>
      </c>
      <c r="D24" s="131">
        <f>[1]E!D24</f>
        <v>39.471121558092676</v>
      </c>
      <c r="E24" s="130">
        <f>[1]E!E24</f>
        <v>23509</v>
      </c>
      <c r="F24" s="131">
        <f>[1]E!F24</f>
        <v>639.80513825386458</v>
      </c>
    </row>
    <row r="25" spans="1:6" x14ac:dyDescent="0.2">
      <c r="A25" s="125" t="s">
        <v>120</v>
      </c>
      <c r="B25" s="126">
        <f>[1]E!B25</f>
        <v>44000</v>
      </c>
      <c r="C25" s="126">
        <f>[1]E!C25</f>
        <v>43100</v>
      </c>
      <c r="D25" s="127">
        <f>[1]E!D25</f>
        <v>34.235585597741867</v>
      </c>
      <c r="E25" s="127">
        <f>[1]E!E25</f>
        <v>1475.55</v>
      </c>
      <c r="F25" s="128">
        <f>[1]E!F25</f>
        <v>40.157576747224034</v>
      </c>
    </row>
    <row r="26" spans="1:6" x14ac:dyDescent="0.2">
      <c r="A26" s="125" t="s">
        <v>121</v>
      </c>
      <c r="B26" s="126" t="str">
        <f>[1]E!B26</f>
        <v>-</v>
      </c>
      <c r="C26" s="126" t="str">
        <f>[1]E!C26</f>
        <v>-</v>
      </c>
      <c r="D26" s="127" t="str">
        <f>[1]E!D26</f>
        <v>-</v>
      </c>
      <c r="E26" s="127" t="str">
        <f>[1]E!E26</f>
        <v>-</v>
      </c>
      <c r="F26" s="128" t="str">
        <f>[1]E!F26</f>
        <v>-</v>
      </c>
    </row>
    <row r="27" spans="1:6" x14ac:dyDescent="0.2">
      <c r="A27" s="125" t="s">
        <v>122</v>
      </c>
      <c r="B27" s="126">
        <f>[1]E!B27</f>
        <v>11800</v>
      </c>
      <c r="C27" s="126">
        <f>[1]E!C27</f>
        <v>11300</v>
      </c>
      <c r="D27" s="127">
        <f>[1]E!D27</f>
        <v>37.874015353477319</v>
      </c>
      <c r="E27" s="127">
        <f>[1]E!E27</f>
        <v>427.98</v>
      </c>
      <c r="F27" s="128">
        <f>[1]E!F27</f>
        <v>11.647615937295885</v>
      </c>
    </row>
    <row r="28" spans="1:6" x14ac:dyDescent="0.2">
      <c r="A28" s="125" t="s">
        <v>123</v>
      </c>
      <c r="B28" s="126">
        <f>[1]E!B28</f>
        <v>22200</v>
      </c>
      <c r="C28" s="126">
        <f>[1]E!C28</f>
        <v>21400</v>
      </c>
      <c r="D28" s="127">
        <f>[1]E!D28</f>
        <v>34.519177852978416</v>
      </c>
      <c r="E28" s="127">
        <f>[1]E!E28</f>
        <v>738.71</v>
      </c>
      <c r="F28" s="128">
        <f>[1]E!F28</f>
        <v>20.104234704985849</v>
      </c>
    </row>
    <row r="29" spans="1:6" x14ac:dyDescent="0.2">
      <c r="A29" s="125" t="s">
        <v>124</v>
      </c>
      <c r="B29" s="126" t="str">
        <f>[1]E!B29</f>
        <v>-</v>
      </c>
      <c r="C29" s="126" t="str">
        <f>[1]E!C29</f>
        <v>-</v>
      </c>
      <c r="D29" s="127" t="str">
        <f>[1]E!D29</f>
        <v>-</v>
      </c>
      <c r="E29" s="127" t="str">
        <f>[1]E!E29</f>
        <v>-</v>
      </c>
      <c r="F29" s="128" t="str">
        <f>[1]E!F29</f>
        <v>-</v>
      </c>
    </row>
    <row r="30" spans="1:6" x14ac:dyDescent="0.2">
      <c r="A30" s="125" t="s">
        <v>125</v>
      </c>
      <c r="B30" s="126">
        <f>[1]E!B30</f>
        <v>30800</v>
      </c>
      <c r="C30" s="126">
        <f>[1]E!C30</f>
        <v>30300</v>
      </c>
      <c r="D30" s="127">
        <f>[1]E!D30</f>
        <v>38.10996636898382</v>
      </c>
      <c r="E30" s="127">
        <f>[1]E!E30</f>
        <v>1154.73</v>
      </c>
      <c r="F30" s="128">
        <f>[1]E!F30</f>
        <v>31.426355323318095</v>
      </c>
    </row>
    <row r="31" spans="1:6" x14ac:dyDescent="0.2">
      <c r="A31" s="125" t="s">
        <v>126</v>
      </c>
      <c r="B31" s="126">
        <f>[1]E!B31</f>
        <v>100</v>
      </c>
      <c r="C31" s="126">
        <f>[1]E!C31</f>
        <v>100</v>
      </c>
      <c r="D31" s="127">
        <f>[1]E!D31</f>
        <v>30.246901115867402</v>
      </c>
      <c r="E31" s="127">
        <f>[1]E!E31</f>
        <v>3.02</v>
      </c>
      <c r="F31" s="128">
        <f>[1]E!F31</f>
        <v>8.2190289571086442E-2</v>
      </c>
    </row>
    <row r="32" spans="1:6" x14ac:dyDescent="0.2">
      <c r="A32" s="125" t="s">
        <v>127</v>
      </c>
      <c r="B32" s="126">
        <f>[1]E!B32</f>
        <v>9300</v>
      </c>
      <c r="C32" s="126">
        <f>[1]E!C32</f>
        <v>8700</v>
      </c>
      <c r="D32" s="127">
        <f>[1]E!D32</f>
        <v>34.686095774141805</v>
      </c>
      <c r="E32" s="127">
        <f>[1]E!E32</f>
        <v>301.77</v>
      </c>
      <c r="F32" s="128">
        <f>[1]E!F32</f>
        <v>8.2127694317439577</v>
      </c>
    </row>
    <row r="33" spans="1:6" x14ac:dyDescent="0.2">
      <c r="A33" s="125" t="s">
        <v>128</v>
      </c>
      <c r="B33" s="126">
        <f>[1]E!B33</f>
        <v>20700</v>
      </c>
      <c r="C33" s="126">
        <f>[1]E!C33</f>
        <v>20300</v>
      </c>
      <c r="D33" s="127">
        <f>[1]E!D33</f>
        <v>37.225633679178898</v>
      </c>
      <c r="E33" s="127">
        <f>[1]E!E33</f>
        <v>755.68</v>
      </c>
      <c r="F33" s="128">
        <f>[1]E!F33</f>
        <v>20.566078815588938</v>
      </c>
    </row>
    <row r="34" spans="1:6" x14ac:dyDescent="0.2">
      <c r="A34" s="125" t="s">
        <v>129</v>
      </c>
      <c r="B34" s="126">
        <f>[1]E!B34</f>
        <v>24400</v>
      </c>
      <c r="C34" s="126">
        <f>[1]E!C34</f>
        <v>23100</v>
      </c>
      <c r="D34" s="127">
        <f>[1]E!D34</f>
        <v>32.399515125416045</v>
      </c>
      <c r="E34" s="127">
        <f>[1]E!E34</f>
        <v>748.43</v>
      </c>
      <c r="F34" s="128">
        <f>[1]E!F34</f>
        <v>20.368767689962986</v>
      </c>
    </row>
    <row r="35" spans="1:6" ht="15.75" x14ac:dyDescent="0.25">
      <c r="A35" s="129" t="s">
        <v>130</v>
      </c>
      <c r="B35" s="130">
        <f>[1]E!B35</f>
        <v>163300</v>
      </c>
      <c r="C35" s="130">
        <f>[1]E!C35</f>
        <v>158300</v>
      </c>
      <c r="D35" s="131">
        <f>[1]E!D35</f>
        <v>35.42008843967151</v>
      </c>
      <c r="E35" s="130">
        <f>[1]E!E35</f>
        <v>5607</v>
      </c>
      <c r="F35" s="131">
        <f>[1]E!F35</f>
        <v>152.59634225996081</v>
      </c>
    </row>
    <row r="36" spans="1:6" x14ac:dyDescent="0.2">
      <c r="A36" s="125" t="s">
        <v>131</v>
      </c>
      <c r="B36" s="126">
        <f>[1]E!B36</f>
        <v>3400</v>
      </c>
      <c r="C36" s="126">
        <f>[1]E!C36</f>
        <v>3400</v>
      </c>
      <c r="D36" s="127">
        <f>[1]E!D36</f>
        <v>32.479286609106126</v>
      </c>
      <c r="E36" s="127">
        <f>[1]E!E36</f>
        <v>110.43</v>
      </c>
      <c r="F36" s="128">
        <f>[1]E!F36</f>
        <v>3.0053886348791643</v>
      </c>
    </row>
    <row r="37" spans="1:6" x14ac:dyDescent="0.2">
      <c r="A37" s="125" t="s">
        <v>132</v>
      </c>
      <c r="B37" s="126">
        <f>[1]E!B37</f>
        <v>4800</v>
      </c>
      <c r="C37" s="126">
        <f>[1]E!C37</f>
        <v>4800</v>
      </c>
      <c r="D37" s="127">
        <f>[1]E!D37</f>
        <v>32.773807509666355</v>
      </c>
      <c r="E37" s="127">
        <f>[1]E!E37</f>
        <v>157.31</v>
      </c>
      <c r="F37" s="128">
        <f>[1]E!F37</f>
        <v>4.2812431961680817</v>
      </c>
    </row>
    <row r="38" spans="1:6" x14ac:dyDescent="0.2">
      <c r="A38" s="125" t="s">
        <v>133</v>
      </c>
      <c r="B38" s="126">
        <f>[1]E!B38</f>
        <v>19400</v>
      </c>
      <c r="C38" s="126">
        <f>[1]E!C38</f>
        <v>18500</v>
      </c>
      <c r="D38" s="127">
        <f>[1]E!D38</f>
        <v>31.817022350886663</v>
      </c>
      <c r="E38" s="127">
        <f>[1]E!E38</f>
        <v>588.61</v>
      </c>
      <c r="F38" s="128">
        <f>[1]E!F38</f>
        <v>16.019214021336818</v>
      </c>
    </row>
    <row r="39" spans="1:6" x14ac:dyDescent="0.2">
      <c r="A39" s="125" t="s">
        <v>134</v>
      </c>
      <c r="B39" s="126">
        <f>[1]E!B39</f>
        <v>10800</v>
      </c>
      <c r="C39" s="126">
        <f>[1]E!C39</f>
        <v>10800</v>
      </c>
      <c r="D39" s="127">
        <f>[1]E!D39</f>
        <v>33.946591405185416</v>
      </c>
      <c r="E39" s="127">
        <f>[1]E!E39</f>
        <v>366.62</v>
      </c>
      <c r="F39" s="128">
        <f>[1]E!F39</f>
        <v>9.9776834313085132</v>
      </c>
    </row>
    <row r="40" spans="1:6" x14ac:dyDescent="0.2">
      <c r="A40" s="125" t="s">
        <v>135</v>
      </c>
      <c r="B40" s="126">
        <f>[1]E!B40</f>
        <v>36700</v>
      </c>
      <c r="C40" s="126">
        <f>[1]E!C40</f>
        <v>35700</v>
      </c>
      <c r="D40" s="127">
        <f>[1]E!D40</f>
        <v>35.57545722345958</v>
      </c>
      <c r="E40" s="127">
        <f>[1]E!E40</f>
        <v>1270.04</v>
      </c>
      <c r="F40" s="128">
        <f>[1]E!F40</f>
        <v>34.564554757239279</v>
      </c>
    </row>
    <row r="41" spans="1:6" x14ac:dyDescent="0.2">
      <c r="A41" s="125" t="s">
        <v>136</v>
      </c>
      <c r="B41" s="126">
        <f>[1]E!B41</f>
        <v>56700</v>
      </c>
      <c r="C41" s="126">
        <f>[1]E!C41</f>
        <v>56700</v>
      </c>
      <c r="D41" s="127">
        <f>[1]E!D41</f>
        <v>37.88869603962651</v>
      </c>
      <c r="E41" s="127">
        <f>[1]E!E41</f>
        <v>2148.29</v>
      </c>
      <c r="F41" s="128">
        <f>[1]E!F41</f>
        <v>58.46641628565208</v>
      </c>
    </row>
    <row r="42" spans="1:6" x14ac:dyDescent="0.2">
      <c r="A42" s="125" t="s">
        <v>137</v>
      </c>
      <c r="B42" s="126">
        <f>[1]E!B42</f>
        <v>6100</v>
      </c>
      <c r="C42" s="126">
        <f>[1]E!C42</f>
        <v>6100</v>
      </c>
      <c r="D42" s="127">
        <f>[1]E!D42</f>
        <v>32.845574082382711</v>
      </c>
      <c r="E42" s="127">
        <f>[1]E!E42</f>
        <v>200.36</v>
      </c>
      <c r="F42" s="128">
        <f>[1]E!F42</f>
        <v>5.4528630524711525</v>
      </c>
    </row>
    <row r="43" spans="1:6" x14ac:dyDescent="0.2">
      <c r="A43" s="125" t="s">
        <v>138</v>
      </c>
      <c r="B43" s="126">
        <f>[1]E!B43</f>
        <v>90300</v>
      </c>
      <c r="C43" s="126">
        <f>[1]E!C43</f>
        <v>90300</v>
      </c>
      <c r="D43" s="127">
        <f>[1]E!D43</f>
        <v>36.339475103698419</v>
      </c>
      <c r="E43" s="127">
        <f>[1]E!E43</f>
        <v>3281.45</v>
      </c>
      <c r="F43" s="128">
        <f>[1]E!F43</f>
        <v>89.305736991073374</v>
      </c>
    </row>
    <row r="44" spans="1:6" ht="15.75" x14ac:dyDescent="0.25">
      <c r="A44" s="129" t="s">
        <v>139</v>
      </c>
      <c r="B44" s="130">
        <f>[1]E!B44</f>
        <v>228200</v>
      </c>
      <c r="C44" s="130">
        <f>[1]E!C44</f>
        <v>226300</v>
      </c>
      <c r="D44" s="131">
        <f>[1]E!D44</f>
        <v>35.890410958904113</v>
      </c>
      <c r="E44" s="130">
        <f>[1]E!E44</f>
        <v>8122</v>
      </c>
      <c r="F44" s="131">
        <f>[1]E!F44</f>
        <v>221.04289135641193</v>
      </c>
    </row>
    <row r="45" spans="1:6" x14ac:dyDescent="0.2">
      <c r="A45" s="125" t="s">
        <v>140</v>
      </c>
      <c r="B45" s="126" t="str">
        <f>[1]E!B45</f>
        <v>-</v>
      </c>
      <c r="C45" s="126" t="str">
        <f>[1]E!C45</f>
        <v>-</v>
      </c>
      <c r="D45" s="126" t="str">
        <f>[1]E!D45</f>
        <v>-</v>
      </c>
      <c r="E45" s="126" t="str">
        <f>[1]E!E45</f>
        <v>-</v>
      </c>
      <c r="F45" s="126" t="str">
        <f>[1]E!F45</f>
        <v>-</v>
      </c>
    </row>
    <row r="46" spans="1:6" x14ac:dyDescent="0.2">
      <c r="A46" s="125" t="s">
        <v>141</v>
      </c>
      <c r="B46" s="126" t="str">
        <f>[1]E!B46</f>
        <v>-</v>
      </c>
      <c r="C46" s="126" t="str">
        <f>[1]E!C46</f>
        <v>-</v>
      </c>
      <c r="D46" s="126" t="str">
        <f>[1]E!D46</f>
        <v>-</v>
      </c>
      <c r="E46" s="126" t="str">
        <f>[1]E!E46</f>
        <v>-</v>
      </c>
      <c r="F46" s="126" t="str">
        <f>[1]E!F46</f>
        <v>-</v>
      </c>
    </row>
    <row r="47" spans="1:6" x14ac:dyDescent="0.2">
      <c r="A47" s="125" t="s">
        <v>142</v>
      </c>
      <c r="B47" s="126">
        <f>[1]E!B47</f>
        <v>100</v>
      </c>
      <c r="C47" s="126">
        <f>[1]E!C47</f>
        <v>100</v>
      </c>
      <c r="D47" s="126">
        <f>[1]E!D47</f>
        <v>30.056871228773829</v>
      </c>
      <c r="E47" s="126">
        <f>[1]E!E47</f>
        <v>3.01</v>
      </c>
      <c r="F47" s="132">
        <f>[1]E!F47</f>
        <v>8.1918136294360983E-2</v>
      </c>
    </row>
    <row r="48" spans="1:6" x14ac:dyDescent="0.2">
      <c r="A48" s="125" t="s">
        <v>143</v>
      </c>
      <c r="B48" s="126">
        <f>[1]E!B48</f>
        <v>100</v>
      </c>
      <c r="C48" s="126">
        <f>[1]E!C48</f>
        <v>100</v>
      </c>
      <c r="D48" s="126">
        <f>[1]E!D48</f>
        <v>30.899407011233301</v>
      </c>
      <c r="E48" s="126">
        <f>[1]E!E48</f>
        <v>3.09</v>
      </c>
      <c r="F48" s="132">
        <f>[1]E!F48</f>
        <v>8.4095362508164601E-2</v>
      </c>
    </row>
    <row r="49" spans="1:6" x14ac:dyDescent="0.2">
      <c r="A49" s="125" t="s">
        <v>144</v>
      </c>
      <c r="B49" s="126">
        <f>[1]E!B49</f>
        <v>1400</v>
      </c>
      <c r="C49" s="126">
        <f>[1]E!C49</f>
        <v>1000</v>
      </c>
      <c r="D49" s="127">
        <f>[1]E!D49</f>
        <v>27.387747781169914</v>
      </c>
      <c r="E49" s="127">
        <f>[1]E!E49</f>
        <v>27.39</v>
      </c>
      <c r="F49" s="128">
        <f>[1]E!F49</f>
        <v>0.74542782495101245</v>
      </c>
    </row>
    <row r="50" spans="1:6" x14ac:dyDescent="0.2">
      <c r="A50" s="125" t="s">
        <v>145</v>
      </c>
      <c r="B50" s="126">
        <f>[1]E!B50</f>
        <v>200</v>
      </c>
      <c r="C50" s="126">
        <f>[1]E!C50</f>
        <v>200</v>
      </c>
      <c r="D50" s="126">
        <f>[1]E!D50</f>
        <v>26.129584907863311</v>
      </c>
      <c r="E50" s="126">
        <f>[1]E!E50</f>
        <v>5.23</v>
      </c>
      <c r="F50" s="132">
        <f>[1]E!F50</f>
        <v>0.14233616372741129</v>
      </c>
    </row>
    <row r="51" spans="1:6" x14ac:dyDescent="0.2">
      <c r="A51" s="125" t="s">
        <v>146</v>
      </c>
      <c r="B51" s="126" t="str">
        <f>[1]E!B51</f>
        <v>-</v>
      </c>
      <c r="C51" s="126" t="str">
        <f>[1]E!C51</f>
        <v>-</v>
      </c>
      <c r="D51" s="126" t="str">
        <f>[1]E!D51</f>
        <v>-</v>
      </c>
      <c r="E51" s="126" t="str">
        <f>[1]E!E51</f>
        <v>-</v>
      </c>
      <c r="F51" s="132" t="str">
        <f>[1]E!F51</f>
        <v>-</v>
      </c>
    </row>
    <row r="52" spans="1:6" x14ac:dyDescent="0.2">
      <c r="A52" s="125" t="s">
        <v>147</v>
      </c>
      <c r="B52" s="126" t="str">
        <f>[1]E!B52</f>
        <v>-</v>
      </c>
      <c r="C52" s="126" t="str">
        <f>[1]E!C52</f>
        <v>-</v>
      </c>
      <c r="D52" s="126" t="str">
        <f>[1]E!D52</f>
        <v>-</v>
      </c>
      <c r="E52" s="126" t="str">
        <f>[1]E!E52</f>
        <v>-</v>
      </c>
      <c r="F52" s="132" t="str">
        <f>[1]E!F52</f>
        <v>-</v>
      </c>
    </row>
    <row r="53" spans="1:6" x14ac:dyDescent="0.2">
      <c r="A53" s="125" t="s">
        <v>148</v>
      </c>
      <c r="B53" s="126">
        <f>[1]E!B53</f>
        <v>300</v>
      </c>
      <c r="C53" s="126">
        <f>[1]E!C53</f>
        <v>200</v>
      </c>
      <c r="D53" s="126">
        <f>[1]E!D53</f>
        <v>30.184368455566872</v>
      </c>
      <c r="E53" s="126">
        <f>[1]E!E53</f>
        <v>6.04</v>
      </c>
      <c r="F53" s="132">
        <f>[1]E!F53</f>
        <v>0.16438057914217288</v>
      </c>
    </row>
    <row r="54" spans="1:6" x14ac:dyDescent="0.2">
      <c r="A54" s="125" t="s">
        <v>149</v>
      </c>
      <c r="B54" s="126">
        <f>[1]E!B54</f>
        <v>2200</v>
      </c>
      <c r="C54" s="126">
        <f>[1]E!C54</f>
        <v>2200</v>
      </c>
      <c r="D54" s="127">
        <f>[1]E!D54</f>
        <v>28.901328064066909</v>
      </c>
      <c r="E54" s="127">
        <f>[1]E!E54</f>
        <v>63.58</v>
      </c>
      <c r="F54" s="128">
        <f>[1]E!F54</f>
        <v>1.7303505334204223</v>
      </c>
    </row>
    <row r="55" spans="1:6" ht="15.75" x14ac:dyDescent="0.25">
      <c r="A55" s="129" t="s">
        <v>150</v>
      </c>
      <c r="B55" s="130">
        <f>[1]E!B55</f>
        <v>4300</v>
      </c>
      <c r="C55" s="130">
        <f>[1]E!C55</f>
        <v>3800</v>
      </c>
      <c r="D55" s="131">
        <f>[1]E!D55</f>
        <v>28.421052631578949</v>
      </c>
      <c r="E55" s="130">
        <f>[1]E!E55</f>
        <v>108</v>
      </c>
      <c r="F55" s="131">
        <f>[1]E!F55</f>
        <v>2.9392553886348791</v>
      </c>
    </row>
    <row r="56" spans="1:6" ht="15.75" x14ac:dyDescent="0.25">
      <c r="A56" s="129" t="s">
        <v>0</v>
      </c>
      <c r="B56" s="130">
        <f>[1]E!B56</f>
        <v>2325000</v>
      </c>
      <c r="C56" s="130">
        <f>[1]E!C56</f>
        <v>2300000</v>
      </c>
      <c r="D56" s="131">
        <f>[1]E!D56</f>
        <v>39.565217391304351</v>
      </c>
      <c r="E56" s="130">
        <f>[1]E!E56</f>
        <v>91000</v>
      </c>
      <c r="F56" s="131">
        <f>[1]E!F56</f>
        <v>2476.5948182016114</v>
      </c>
    </row>
    <row r="57" spans="1:6" ht="15.75" x14ac:dyDescent="0.25">
      <c r="A57" s="115"/>
      <c r="B57" s="116"/>
      <c r="C57" s="116"/>
      <c r="D57" s="117"/>
      <c r="E57" s="116"/>
      <c r="F57" s="118"/>
    </row>
    <row r="58" spans="1:6" x14ac:dyDescent="0.2">
      <c r="A58" s="2"/>
      <c r="B58" s="3"/>
      <c r="C58" s="3"/>
      <c r="D58" s="4"/>
      <c r="E58" s="3"/>
      <c r="F58" s="68"/>
    </row>
    <row r="59" spans="1:6" x14ac:dyDescent="0.2">
      <c r="A59" s="2"/>
      <c r="B59" s="119"/>
      <c r="C59" s="119"/>
      <c r="D59" s="120"/>
      <c r="E59" s="119"/>
      <c r="F59" s="121"/>
    </row>
    <row r="60" spans="1:6" x14ac:dyDescent="0.2">
      <c r="A60" s="2"/>
      <c r="B60" s="3"/>
      <c r="C60" s="3"/>
      <c r="D60" s="4"/>
      <c r="E60" s="3"/>
      <c r="F60" s="68"/>
    </row>
    <row r="61" spans="1:6" x14ac:dyDescent="0.2">
      <c r="A61" s="2"/>
      <c r="B61" s="3"/>
      <c r="C61" s="3"/>
      <c r="D61" s="4"/>
      <c r="E61" s="3"/>
      <c r="F61" s="68"/>
    </row>
    <row r="62" spans="1:6" x14ac:dyDescent="0.2">
      <c r="A62" s="61"/>
      <c r="B62" s="3"/>
      <c r="C62" s="3"/>
      <c r="D62" s="4"/>
      <c r="E62" s="3"/>
      <c r="F62" s="68"/>
    </row>
    <row r="63" spans="1:6" x14ac:dyDescent="0.2">
      <c r="A63" s="61"/>
      <c r="B63" s="3"/>
      <c r="C63" s="3"/>
      <c r="D63" s="4"/>
      <c r="E63" s="3"/>
      <c r="F63" s="68"/>
    </row>
    <row r="64" spans="1:6" x14ac:dyDescent="0.2">
      <c r="A64" s="2"/>
      <c r="B64" s="69"/>
      <c r="C64" s="69"/>
      <c r="D64" s="103"/>
      <c r="E64" s="69"/>
      <c r="F64" s="70"/>
    </row>
    <row r="65" spans="1:6" x14ac:dyDescent="0.2">
      <c r="A65" s="2"/>
      <c r="B65" s="69"/>
      <c r="C65" s="69"/>
      <c r="D65" s="103"/>
      <c r="E65" s="69"/>
      <c r="F65" s="70"/>
    </row>
    <row r="66" spans="1:6" x14ac:dyDescent="0.2">
      <c r="A66" s="2"/>
      <c r="B66" s="3"/>
      <c r="C66" s="3"/>
      <c r="D66" s="4"/>
      <c r="E66" s="3"/>
      <c r="F66" s="68"/>
    </row>
    <row r="67" spans="1:6" x14ac:dyDescent="0.2">
      <c r="A67" s="2"/>
      <c r="B67" s="3"/>
      <c r="C67" s="3"/>
      <c r="D67" s="4"/>
      <c r="E67" s="3"/>
      <c r="F67" s="68"/>
    </row>
    <row r="68" spans="1:6" x14ac:dyDescent="0.2">
      <c r="A68" s="2"/>
      <c r="B68" s="3"/>
      <c r="C68" s="3"/>
      <c r="D68" s="4"/>
      <c r="E68" s="3"/>
      <c r="F68" s="68"/>
    </row>
    <row r="69" spans="1:6" x14ac:dyDescent="0.2">
      <c r="A69" s="2"/>
      <c r="B69" s="3"/>
      <c r="C69" s="3"/>
      <c r="D69" s="4"/>
      <c r="E69" s="3"/>
      <c r="F69" s="68"/>
    </row>
    <row r="70" spans="1:6" x14ac:dyDescent="0.2">
      <c r="A70" s="2"/>
      <c r="B70" s="3"/>
      <c r="C70" s="3"/>
      <c r="D70" s="4"/>
      <c r="E70" s="3"/>
      <c r="F70" s="68"/>
    </row>
    <row r="71" spans="1:6" x14ac:dyDescent="0.2">
      <c r="A71" s="2"/>
      <c r="B71" s="3"/>
      <c r="C71" s="3"/>
      <c r="D71" s="4"/>
      <c r="E71" s="3"/>
      <c r="F71" s="68"/>
    </row>
    <row r="72" spans="1:6" x14ac:dyDescent="0.2">
      <c r="A72" s="2"/>
      <c r="B72" s="3"/>
      <c r="C72" s="3"/>
      <c r="D72" s="4"/>
      <c r="E72" s="3"/>
      <c r="F72" s="68"/>
    </row>
    <row r="73" spans="1:6" x14ac:dyDescent="0.2">
      <c r="A73" s="2"/>
      <c r="B73" s="3"/>
      <c r="C73" s="3"/>
      <c r="D73" s="4"/>
      <c r="E73" s="3"/>
      <c r="F73" s="68"/>
    </row>
    <row r="74" spans="1:6" x14ac:dyDescent="0.2">
      <c r="A74" s="2"/>
      <c r="B74" s="3"/>
      <c r="C74" s="3"/>
      <c r="D74" s="4"/>
      <c r="E74" s="3"/>
      <c r="F74" s="68"/>
    </row>
    <row r="75" spans="1:6" x14ac:dyDescent="0.2">
      <c r="A75" s="2"/>
      <c r="B75" s="3"/>
      <c r="C75" s="3"/>
      <c r="D75" s="4"/>
      <c r="E75" s="3"/>
      <c r="F75" s="68"/>
    </row>
    <row r="76" spans="1:6" x14ac:dyDescent="0.2">
      <c r="A76" s="2"/>
      <c r="B76" s="3"/>
      <c r="C76" s="3"/>
      <c r="D76" s="4"/>
      <c r="E76" s="3"/>
      <c r="F76" s="68"/>
    </row>
    <row r="77" spans="1:6" x14ac:dyDescent="0.2">
      <c r="A77" s="2"/>
      <c r="B77" s="3"/>
      <c r="C77" s="3"/>
      <c r="D77" s="4"/>
      <c r="E77" s="3"/>
      <c r="F77" s="68"/>
    </row>
    <row r="78" spans="1:6" x14ac:dyDescent="0.2">
      <c r="A78" s="2"/>
      <c r="B78" s="2"/>
      <c r="C78" s="2"/>
      <c r="D78" s="2"/>
      <c r="E78" s="2"/>
      <c r="F78" s="2"/>
    </row>
    <row r="79" spans="1:6" x14ac:dyDescent="0.2">
      <c r="A79" s="2"/>
      <c r="B79" s="2"/>
      <c r="C79" s="2"/>
      <c r="D79" s="2"/>
      <c r="E79" s="2"/>
      <c r="F79" s="2"/>
    </row>
    <row r="80" spans="1:6" x14ac:dyDescent="0.2">
      <c r="A80" s="2"/>
      <c r="B80" s="2"/>
      <c r="C80" s="2"/>
      <c r="D80" s="2"/>
      <c r="E80" s="2"/>
      <c r="F80" s="2"/>
    </row>
    <row r="81" spans="1:6" x14ac:dyDescent="0.2">
      <c r="A81" s="2"/>
      <c r="B81" s="2"/>
      <c r="C81" s="2"/>
      <c r="D81" s="2"/>
      <c r="E81" s="2"/>
      <c r="F81" s="2"/>
    </row>
    <row r="82" spans="1:6" x14ac:dyDescent="0.2">
      <c r="A82" s="2"/>
      <c r="B82" s="2"/>
      <c r="C82" s="2"/>
      <c r="D82" s="2"/>
      <c r="E82" s="2"/>
      <c r="F82" s="2"/>
    </row>
    <row r="83" spans="1:6" x14ac:dyDescent="0.2">
      <c r="A83" s="2"/>
      <c r="B83" s="2"/>
      <c r="C83" s="2"/>
      <c r="D83" s="2"/>
      <c r="E83" s="2"/>
      <c r="F83" s="2"/>
    </row>
    <row r="84" spans="1:6" x14ac:dyDescent="0.2">
      <c r="A84" s="2"/>
      <c r="B84" s="2"/>
      <c r="C84" s="2"/>
      <c r="D84" s="2"/>
      <c r="E84" s="2"/>
      <c r="F84" s="2"/>
    </row>
    <row r="85" spans="1:6" x14ac:dyDescent="0.2">
      <c r="A85" s="2"/>
      <c r="B85" s="2"/>
      <c r="C85" s="2"/>
      <c r="D85" s="2"/>
      <c r="E85" s="2"/>
      <c r="F85" s="2"/>
    </row>
    <row r="86" spans="1:6" x14ac:dyDescent="0.2">
      <c r="B86" s="2"/>
      <c r="C86" s="2"/>
      <c r="D86" s="2"/>
      <c r="E86" s="2"/>
      <c r="F86" s="2"/>
    </row>
    <row r="87" spans="1:6" x14ac:dyDescent="0.2">
      <c r="B87" s="2"/>
      <c r="C87" s="2"/>
      <c r="D87" s="2"/>
      <c r="E87" s="2"/>
      <c r="F87" s="2"/>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F862F1AD786FC48BAD4CC842D922D96" ma:contentTypeVersion="13" ma:contentTypeDescription="Create a new document." ma:contentTypeScope="" ma:versionID="0b2eec92e01cdb62b3189bd254191994">
  <xsd:schema xmlns:xsd="http://www.w3.org/2001/XMLSchema" xmlns:xs="http://www.w3.org/2001/XMLSchema" xmlns:p="http://schemas.microsoft.com/office/2006/metadata/properties" xmlns:ns3="2a385fde-0881-4398-833e-9cb951431347" xmlns:ns4="28ef8118-0a7a-4fb6-aef2-ec0633c5f14e" targetNamespace="http://schemas.microsoft.com/office/2006/metadata/properties" ma:root="true" ma:fieldsID="c6229acb5a95a5ed3fcd5175969f5ebc" ns3:_="" ns4:_="">
    <xsd:import namespace="2a385fde-0881-4398-833e-9cb951431347"/>
    <xsd:import namespace="28ef8118-0a7a-4fb6-aef2-ec0633c5f14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385fde-0881-4398-833e-9cb9514313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8ef8118-0a7a-4fb6-aef2-ec0633c5f14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885669-7012-4074-B300-5A32A7B3392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CE5DE7D-1B8C-40BB-9511-C2006F921826}">
  <ds:schemaRefs>
    <ds:schemaRef ds:uri="http://schemas.microsoft.com/sharepoint/v3/contenttype/forms"/>
  </ds:schemaRefs>
</ds:datastoreItem>
</file>

<file path=customXml/itemProps3.xml><?xml version="1.0" encoding="utf-8"?>
<ds:datastoreItem xmlns:ds="http://schemas.openxmlformats.org/officeDocument/2006/customXml" ds:itemID="{472E2CB5-394C-43A5-87EF-821F444B97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385fde-0881-4398-833e-9cb951431347"/>
    <ds:schemaRef ds:uri="28ef8118-0a7a-4fb6-aef2-ec0633c5f1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2024E</vt:lpstr>
      <vt:lpstr>2023E</vt:lpstr>
      <vt:lpstr>2022E</vt:lpstr>
      <vt:lpstr>2021E</vt:lpstr>
      <vt:lpstr>2020E</vt:lpstr>
      <vt:lpstr>2019E</vt:lpstr>
      <vt:lpstr>2018E</vt:lpstr>
      <vt:lpstr>2017E</vt:lpstr>
      <vt:lpstr>2016E</vt:lpstr>
      <vt:lpstr>2015E</vt:lpstr>
      <vt:lpstr>2014E</vt:lpstr>
      <vt:lpstr>2013E</vt:lpstr>
      <vt:lpstr>2012E</vt:lpstr>
      <vt:lpstr>2011E</vt:lpstr>
      <vt:lpstr>2010E</vt:lpstr>
      <vt:lpstr>2009E</vt:lpstr>
      <vt:lpstr>2008E</vt:lpstr>
      <vt:lpstr>2007E</vt:lpstr>
      <vt:lpstr>2006E</vt:lpstr>
      <vt:lpstr>2005E</vt:lpstr>
      <vt:lpstr>2004E</vt:lpstr>
      <vt:lpstr>'2018E'!Print_Area</vt:lpstr>
    </vt:vector>
  </TitlesOfParts>
  <Company>OMAFRA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name}</dc:creator>
  <cp:lastModifiedBy>Duff, Stephen (OMAFA)</cp:lastModifiedBy>
  <cp:lastPrinted>2017-02-17T20:48:28Z</cp:lastPrinted>
  <dcterms:created xsi:type="dcterms:W3CDTF">1997-08-21T15:55:50Z</dcterms:created>
  <dcterms:modified xsi:type="dcterms:W3CDTF">2025-02-28T15:55:27Z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0x010100CF862F1AD786FC48BAD4CC842D922D96</vt:lpwstr>
  </property>
  <property fmtid="{D5CDD505-2E9C-101B-9397-08002B2CF9AE}" pid="3" name="MSIP_Label_034a106e-6316-442c-ad35-738afd673d2b_Enabled">
    <vt:lpwstr>true</vt:lpwstr>
  </property>
  <property fmtid="{D5CDD505-2E9C-101B-9397-08002B2CF9AE}" pid="4" name="MSIP_Label_034a106e-6316-442c-ad35-738afd673d2b_SetDate">
    <vt:lpwstr>2021-11-14T19:19:45Z</vt:lpwstr>
  </property>
  <property fmtid="{D5CDD505-2E9C-101B-9397-08002B2CF9AE}" pid="5" name="MSIP_Label_034a106e-6316-442c-ad35-738afd673d2b_Method">
    <vt:lpwstr>Standard</vt:lpwstr>
  </property>
  <property fmtid="{D5CDD505-2E9C-101B-9397-08002B2CF9AE}" pid="6" name="MSIP_Label_034a106e-6316-442c-ad35-738afd673d2b_Name">
    <vt:lpwstr>034a106e-6316-442c-ad35-738afd673d2b</vt:lpwstr>
  </property>
  <property fmtid="{D5CDD505-2E9C-101B-9397-08002B2CF9AE}" pid="7" name="MSIP_Label_034a106e-6316-442c-ad35-738afd673d2b_SiteId">
    <vt:lpwstr>cddc1229-ac2a-4b97-b78a-0e5cacb5865c</vt:lpwstr>
  </property>
  <property fmtid="{D5CDD505-2E9C-101B-9397-08002B2CF9AE}" pid="8" name="MSIP_Label_034a106e-6316-442c-ad35-738afd673d2b_ContentBits">
    <vt:lpwstr>0</vt:lpwstr>
  </property>
</Properties>
</file>