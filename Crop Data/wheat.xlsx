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https://ontariogov-my.sharepoint.com/personal/stephen_duff_ontario_ca/Documents/Documents/Senior Economist/Statistics/OMAFRA/Website/"/>
    </mc:Choice>
  </mc:AlternateContent>
  <xr:revisionPtr revIDLastSave="18" documentId="6_{8EA25671-AEA1-4DCC-BA6A-C244FD0E8AF9}" xr6:coauthVersionLast="47" xr6:coauthVersionMax="47" xr10:uidLastSave="{448DFD6F-0447-4704-95E3-C377C7C53662}"/>
  <bookViews>
    <workbookView xWindow="-120" yWindow="-120" windowWidth="20730" windowHeight="11160" xr2:uid="{00000000-000D-0000-FFFF-FFFF00000000}"/>
  </bookViews>
  <sheets>
    <sheet name="wheat2024" sheetId="22" r:id="rId1"/>
    <sheet name="wheat2023" sheetId="21" r:id="rId2"/>
    <sheet name="wheat2022" sheetId="20" r:id="rId3"/>
    <sheet name="wheat2021" sheetId="19" r:id="rId4"/>
    <sheet name="wheat2020" sheetId="18" r:id="rId5"/>
    <sheet name="wheat2019" sheetId="17" r:id="rId6"/>
    <sheet name="wheat2018" sheetId="16" r:id="rId7"/>
    <sheet name="wheat2017" sheetId="15" r:id="rId8"/>
    <sheet name="wheat2016" sheetId="1" r:id="rId9"/>
    <sheet name="wheat2015" sheetId="3" r:id="rId10"/>
    <sheet name="wheat2014" sheetId="4" r:id="rId11"/>
    <sheet name="wheat2013" sheetId="5" r:id="rId12"/>
    <sheet name="wheat2012" sheetId="6" r:id="rId13"/>
    <sheet name="wheat2011" sheetId="7" r:id="rId14"/>
    <sheet name="wheat2010" sheetId="8" r:id="rId15"/>
    <sheet name="wheat2009" sheetId="9" r:id="rId16"/>
    <sheet name="wheat2008" sheetId="10" r:id="rId17"/>
    <sheet name="wheat2007" sheetId="11" r:id="rId18"/>
    <sheet name="wheat2006" sheetId="12" r:id="rId19"/>
    <sheet name="wheat2005" sheetId="13" r:id="rId20"/>
    <sheet name="wheat2004" sheetId="14" r:id="rId21"/>
  </sheets>
  <definedNames>
    <definedName name="HTML_CodePage" hidden="1">1252</definedName>
    <definedName name="HTML_Control" hidden="1">{"'B'!$A$5:$F$66"}</definedName>
    <definedName name="HTML_Description" hidden="1">""</definedName>
    <definedName name="HTML_Email" hidden="1">""</definedName>
    <definedName name="HTML_Header" hidden="1">"A"</definedName>
    <definedName name="HTML_LastUpdate" hidden="1">"5/22/01"</definedName>
    <definedName name="HTML_LineAfter" hidden="1">FALSE</definedName>
    <definedName name="HTML_LineBefore" hidden="1">FALSE</definedName>
    <definedName name="HTML_Name" hidden="1">"Gavin Lawson"</definedName>
    <definedName name="HTML_OBDlg2" hidden="1">TRUE</definedName>
    <definedName name="HTML_OBDlg4" hidden="1">TRUE</definedName>
    <definedName name="HTML_OS" hidden="1">0</definedName>
    <definedName name="HTML_PathFile" hidden="1">"M:\STATS\Omafra\french\stats\crops\1Wwheat.htm"</definedName>
    <definedName name="HTML_Title" hidden="1">"Wwheat00AP"</definedName>
    <definedName name="_xlnm.Print_Area" localSheetId="8">wheat2016!$A$1:$F$60</definedName>
    <definedName name="T">wheat2016!$A$1:$A$1</definedName>
    <definedName name="W">wheat2016!$B$3:$B$53</definedName>
    <definedName name="X">wheat2016!$G$3:$GZ$8117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0" i="18" l="1"/>
  <c r="F47" i="18"/>
  <c r="F46" i="18"/>
  <c r="E50" i="18"/>
  <c r="F57" i="18" l="1"/>
  <c r="F56" i="18"/>
  <c r="F55" i="18"/>
  <c r="F51" i="18"/>
  <c r="F48" i="18"/>
  <c r="F45" i="18"/>
  <c r="F44" i="18"/>
  <c r="F43" i="18"/>
  <c r="F42" i="18"/>
  <c r="F41" i="18"/>
  <c r="F40" i="18"/>
  <c r="F39" i="18"/>
  <c r="F38" i="18"/>
  <c r="F37" i="18"/>
  <c r="F36" i="18"/>
  <c r="F35" i="18"/>
  <c r="F34" i="18"/>
  <c r="F33" i="18"/>
  <c r="F31" i="18"/>
  <c r="F29" i="18"/>
  <c r="F28" i="18"/>
  <c r="F26" i="18"/>
  <c r="F25" i="18"/>
  <c r="F24" i="18"/>
  <c r="F23" i="18"/>
  <c r="F22" i="18"/>
  <c r="F21" i="18"/>
  <c r="F20" i="18"/>
  <c r="F19" i="18"/>
  <c r="F18" i="18"/>
  <c r="F17" i="18"/>
  <c r="F16" i="18"/>
  <c r="F15" i="18"/>
  <c r="F14" i="18"/>
  <c r="F13" i="18"/>
  <c r="F12" i="18"/>
  <c r="F11" i="18"/>
  <c r="F10" i="18"/>
  <c r="F9" i="18"/>
  <c r="F8" i="18"/>
  <c r="F7" i="18"/>
  <c r="F6" i="18"/>
  <c r="F5" i="18"/>
  <c r="F4" i="18"/>
  <c r="F57" i="17" l="1"/>
  <c r="F56" i="17"/>
  <c r="F55" i="17"/>
  <c r="F51" i="17"/>
  <c r="F48" i="17"/>
  <c r="F45" i="17"/>
  <c r="F44" i="17"/>
  <c r="F43" i="17"/>
  <c r="F42" i="17"/>
  <c r="F41" i="17"/>
  <c r="F40" i="17"/>
  <c r="F39" i="17"/>
  <c r="F38" i="17"/>
  <c r="F37" i="17"/>
  <c r="F36" i="17"/>
  <c r="F35" i="17"/>
  <c r="F34" i="17"/>
  <c r="F33" i="17"/>
  <c r="F31" i="17"/>
  <c r="F29" i="17"/>
  <c r="F28" i="17"/>
  <c r="F26" i="17"/>
  <c r="F25" i="17"/>
  <c r="F24" i="17"/>
  <c r="F23" i="17"/>
  <c r="F22" i="17"/>
  <c r="F21" i="17"/>
  <c r="F20" i="17"/>
  <c r="F19" i="17"/>
  <c r="F18" i="17"/>
  <c r="F17" i="17"/>
  <c r="F16" i="17"/>
  <c r="F15" i="17"/>
  <c r="F14" i="17"/>
  <c r="F13" i="17"/>
  <c r="F12" i="17"/>
  <c r="F11" i="17"/>
  <c r="F10" i="17"/>
  <c r="F9" i="17"/>
  <c r="F8" i="17"/>
  <c r="F7" i="17"/>
  <c r="F6" i="17"/>
  <c r="F5" i="17"/>
  <c r="F4" i="17"/>
  <c r="F56" i="15" l="1"/>
  <c r="D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F57" i="16"/>
  <c r="F56" i="16"/>
  <c r="F55" i="16"/>
  <c r="F51" i="16"/>
  <c r="F48" i="16"/>
  <c r="F45" i="16"/>
  <c r="F44" i="16"/>
  <c r="F43" i="16"/>
  <c r="F42" i="16"/>
  <c r="F41" i="16"/>
  <c r="F40" i="16"/>
  <c r="F39" i="16"/>
  <c r="F38" i="16"/>
  <c r="F37" i="16"/>
  <c r="F36" i="16"/>
  <c r="F35" i="16"/>
  <c r="F34" i="16"/>
  <c r="F33" i="16"/>
  <c r="F31" i="16"/>
  <c r="F29" i="16"/>
  <c r="F28" i="16"/>
  <c r="F26" i="16"/>
  <c r="F25" i="16"/>
  <c r="F24" i="16"/>
  <c r="F23" i="16"/>
  <c r="F22" i="16"/>
  <c r="F21" i="16"/>
  <c r="F20" i="16"/>
  <c r="F19" i="16"/>
  <c r="F18" i="16"/>
  <c r="F17" i="16"/>
  <c r="F16" i="16"/>
  <c r="F15" i="16"/>
  <c r="F14" i="16"/>
  <c r="F13" i="16"/>
  <c r="F12" i="16"/>
  <c r="F11" i="16"/>
  <c r="F10" i="16"/>
  <c r="F9" i="16"/>
  <c r="F8" i="16"/>
  <c r="F7" i="16"/>
  <c r="F6" i="16"/>
  <c r="F5" i="16"/>
  <c r="F4" i="16"/>
  <c r="E56" i="14"/>
  <c r="F56" i="14" s="1"/>
  <c r="E55" i="14"/>
  <c r="F55" i="14" s="1"/>
  <c r="E54" i="14"/>
  <c r="F54" i="14" s="1"/>
  <c r="E49" i="14"/>
  <c r="F49" i="14" s="1"/>
  <c r="E48" i="14"/>
  <c r="F48" i="14" s="1"/>
  <c r="E45" i="14"/>
  <c r="F45" i="14" s="1"/>
  <c r="E44" i="14"/>
  <c r="F44" i="14" s="1"/>
  <c r="E43" i="14"/>
  <c r="F43" i="14" s="1"/>
  <c r="E42" i="14"/>
  <c r="F42" i="14" s="1"/>
  <c r="E41" i="14"/>
  <c r="F41" i="14" s="1"/>
  <c r="E40" i="14"/>
  <c r="F40" i="14" s="1"/>
  <c r="E39" i="14"/>
  <c r="F39" i="14" s="1"/>
  <c r="E38" i="14"/>
  <c r="F38" i="14" s="1"/>
  <c r="E37" i="14"/>
  <c r="F37" i="14" s="1"/>
  <c r="E36" i="14"/>
  <c r="F36" i="14" s="1"/>
  <c r="E35" i="14"/>
  <c r="F35" i="14" s="1"/>
  <c r="E34" i="14"/>
  <c r="F34" i="14" s="1"/>
  <c r="E33" i="14"/>
  <c r="F33" i="14" s="1"/>
  <c r="E32" i="14"/>
  <c r="F32" i="14" s="1"/>
  <c r="E30" i="14"/>
  <c r="F30" i="14" s="1"/>
  <c r="E28" i="14"/>
  <c r="F28" i="14" s="1"/>
  <c r="E27" i="14"/>
  <c r="F27" i="14" s="1"/>
  <c r="E25" i="14"/>
  <c r="F25" i="14" s="1"/>
  <c r="E24" i="14"/>
  <c r="F24" i="14" s="1"/>
  <c r="E23" i="14"/>
  <c r="F23" i="14" s="1"/>
  <c r="E22" i="14"/>
  <c r="F22" i="14" s="1"/>
  <c r="E21" i="14"/>
  <c r="F21" i="14" s="1"/>
  <c r="E20" i="14"/>
  <c r="F20" i="14" s="1"/>
  <c r="E19" i="14"/>
  <c r="F19" i="14" s="1"/>
  <c r="E18" i="14"/>
  <c r="F18" i="14" s="1"/>
  <c r="E17" i="14"/>
  <c r="F17" i="14" s="1"/>
  <c r="E16" i="14"/>
  <c r="F16" i="14" s="1"/>
  <c r="E15" i="14"/>
  <c r="F15" i="14" s="1"/>
  <c r="E14" i="14"/>
  <c r="F14" i="14" s="1"/>
  <c r="E13" i="14"/>
  <c r="F13" i="14" s="1"/>
  <c r="E12" i="14"/>
  <c r="F12" i="14" s="1"/>
  <c r="E11" i="14"/>
  <c r="F11" i="14" s="1"/>
  <c r="E10" i="14"/>
  <c r="F10" i="14" s="1"/>
  <c r="E9" i="14"/>
  <c r="F9" i="14" s="1"/>
  <c r="E8" i="14"/>
  <c r="F8" i="14" s="1"/>
  <c r="E7" i="14"/>
  <c r="F7" i="14" s="1"/>
  <c r="E6" i="14"/>
  <c r="F6" i="14" s="1"/>
  <c r="E5" i="14"/>
  <c r="F5" i="14" s="1"/>
  <c r="E4" i="14"/>
  <c r="F4" i="14" s="1"/>
  <c r="E3" i="14"/>
  <c r="F3" i="14" s="1"/>
  <c r="E56" i="13"/>
  <c r="F56" i="13"/>
  <c r="E55" i="13"/>
  <c r="F55" i="13" s="1"/>
  <c r="E54" i="13"/>
  <c r="F54" i="13" s="1"/>
  <c r="E48" i="13"/>
  <c r="F48" i="13" s="1"/>
  <c r="E44" i="13"/>
  <c r="F44" i="13"/>
  <c r="E43" i="13"/>
  <c r="F43" i="13" s="1"/>
  <c r="E42" i="13"/>
  <c r="F42" i="13"/>
  <c r="E41" i="13"/>
  <c r="F41" i="13" s="1"/>
  <c r="E40" i="13"/>
  <c r="F40" i="13"/>
  <c r="E39" i="13"/>
  <c r="F39" i="13" s="1"/>
  <c r="E38" i="13"/>
  <c r="F38" i="13" s="1"/>
  <c r="E37" i="13"/>
  <c r="F37" i="13" s="1"/>
  <c r="E36" i="13"/>
  <c r="F36" i="13"/>
  <c r="E35" i="13"/>
  <c r="F35" i="13" s="1"/>
  <c r="E34" i="13"/>
  <c r="F34" i="13"/>
  <c r="E33" i="13"/>
  <c r="F33" i="13" s="1"/>
  <c r="E32" i="13"/>
  <c r="F32" i="13"/>
  <c r="E30" i="13"/>
  <c r="F30" i="13" s="1"/>
  <c r="E28" i="13"/>
  <c r="F28" i="13" s="1"/>
  <c r="E27" i="13"/>
  <c r="F27" i="13" s="1"/>
  <c r="E25" i="13"/>
  <c r="F25" i="13"/>
  <c r="E24" i="13"/>
  <c r="F24" i="13" s="1"/>
  <c r="E23" i="13"/>
  <c r="F23" i="13"/>
  <c r="E22" i="13"/>
  <c r="F22" i="13" s="1"/>
  <c r="E21" i="13"/>
  <c r="F21" i="13"/>
  <c r="E20" i="13"/>
  <c r="F20" i="13" s="1"/>
  <c r="E19" i="13"/>
  <c r="F19" i="13" s="1"/>
  <c r="E18" i="13"/>
  <c r="F18" i="13" s="1"/>
  <c r="E17" i="13"/>
  <c r="F17" i="13"/>
  <c r="E16" i="13"/>
  <c r="F16" i="13" s="1"/>
  <c r="E15" i="13"/>
  <c r="F15" i="13"/>
  <c r="E14" i="13"/>
  <c r="F14" i="13" s="1"/>
  <c r="E13" i="13"/>
  <c r="F13" i="13"/>
  <c r="E12" i="13"/>
  <c r="F12" i="13" s="1"/>
  <c r="E11" i="13"/>
  <c r="F11" i="13" s="1"/>
  <c r="E10" i="13"/>
  <c r="F10" i="13" s="1"/>
  <c r="E9" i="13"/>
  <c r="F9" i="13"/>
  <c r="E8" i="13"/>
  <c r="F8" i="13" s="1"/>
  <c r="E7" i="13"/>
  <c r="F7" i="13"/>
  <c r="E6" i="13"/>
  <c r="F6" i="13" s="1"/>
  <c r="E5" i="13"/>
  <c r="F5" i="13"/>
  <c r="E4" i="13"/>
  <c r="F4" i="13" s="1"/>
  <c r="E3" i="13"/>
  <c r="F3" i="13" s="1"/>
  <c r="F56" i="9"/>
  <c r="F55" i="9"/>
  <c r="F44" i="9"/>
  <c r="F43" i="9"/>
  <c r="F42" i="9"/>
  <c r="F39" i="9"/>
  <c r="F35" i="9"/>
  <c r="F34" i="9"/>
  <c r="F33" i="9"/>
  <c r="F32" i="9"/>
  <c r="F30" i="9"/>
  <c r="F28" i="9"/>
  <c r="F27" i="9"/>
  <c r="F25" i="9"/>
  <c r="F24" i="9"/>
  <c r="F23" i="9"/>
  <c r="F22" i="9"/>
  <c r="F21" i="9"/>
  <c r="F20" i="9"/>
  <c r="F19" i="9"/>
  <c r="F18" i="9"/>
  <c r="F17" i="9"/>
  <c r="F16" i="9"/>
  <c r="F15" i="9"/>
  <c r="F14" i="9"/>
  <c r="F13" i="9"/>
  <c r="F12" i="9"/>
  <c r="F11" i="9"/>
  <c r="F10" i="9"/>
  <c r="F9" i="9"/>
  <c r="F8" i="9"/>
  <c r="F7" i="9"/>
  <c r="F6" i="9"/>
  <c r="F5" i="9"/>
  <c r="F4" i="9"/>
  <c r="F3" i="9"/>
  <c r="F56" i="8"/>
  <c r="F55" i="8"/>
  <c r="F54" i="8"/>
  <c r="F44" i="8"/>
  <c r="F42" i="8"/>
  <c r="F40" i="8"/>
  <c r="F39" i="8"/>
  <c r="F36" i="8"/>
  <c r="F35" i="8"/>
  <c r="F34" i="8"/>
  <c r="F33" i="8"/>
  <c r="F32" i="8"/>
  <c r="F30" i="8"/>
  <c r="F28" i="8"/>
  <c r="F27" i="8"/>
  <c r="F25" i="8"/>
  <c r="F24" i="8"/>
  <c r="F23" i="8"/>
  <c r="F22" i="8"/>
  <c r="F21" i="8"/>
  <c r="F20" i="8"/>
  <c r="F19" i="8"/>
  <c r="F18" i="8"/>
  <c r="F17" i="8"/>
  <c r="F16" i="8"/>
  <c r="F15" i="8"/>
  <c r="F14" i="8"/>
  <c r="F13" i="8"/>
  <c r="F12" i="8"/>
  <c r="F11" i="8"/>
  <c r="F10" i="8"/>
  <c r="F9" i="8"/>
  <c r="F8" i="8"/>
  <c r="F7" i="8"/>
  <c r="F6" i="8"/>
  <c r="F5" i="8"/>
  <c r="F4" i="8"/>
  <c r="F3" i="8"/>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56" i="5"/>
  <c r="F55" i="5"/>
  <c r="F54" i="5"/>
  <c r="F53" i="5"/>
  <c r="F52"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56" i="4"/>
  <c r="F55" i="4"/>
  <c r="F44" i="4"/>
  <c r="F43" i="4"/>
  <c r="F42" i="4"/>
  <c r="F41" i="4"/>
  <c r="F40" i="4"/>
  <c r="F39" i="4"/>
  <c r="F38" i="4"/>
  <c r="F37" i="4"/>
  <c r="F36" i="4"/>
  <c r="F35" i="4"/>
  <c r="F34" i="4"/>
  <c r="F33" i="4"/>
  <c r="F32" i="4"/>
  <c r="F30" i="4"/>
  <c r="F28" i="4"/>
  <c r="F27" i="4"/>
  <c r="F25" i="4"/>
  <c r="F24" i="4"/>
  <c r="F23" i="4"/>
  <c r="F22" i="4"/>
  <c r="F21" i="4"/>
  <c r="F20" i="4"/>
  <c r="F19" i="4"/>
  <c r="F18" i="4"/>
  <c r="F17" i="4"/>
  <c r="F16" i="4"/>
  <c r="F15" i="4"/>
  <c r="F14" i="4"/>
  <c r="F13" i="4"/>
  <c r="F12" i="4"/>
  <c r="F11" i="4"/>
  <c r="F10" i="4"/>
  <c r="F9" i="4"/>
  <c r="F8" i="4"/>
  <c r="F7" i="4"/>
  <c r="F6" i="4"/>
  <c r="F5" i="4"/>
  <c r="F4" i="4"/>
  <c r="F3" i="4"/>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54" i="1"/>
  <c r="F50" i="1"/>
  <c r="F47" i="1"/>
  <c r="F6" i="1"/>
  <c r="F7" i="1"/>
  <c r="F12" i="1"/>
  <c r="F13" i="1"/>
  <c r="F15" i="1"/>
  <c r="F18" i="1"/>
  <c r="F28" i="1"/>
  <c r="F30" i="1"/>
  <c r="F33" i="1"/>
  <c r="F36" i="1"/>
  <c r="F39" i="1"/>
  <c r="F40" i="1"/>
  <c r="F43" i="1"/>
  <c r="F4" i="1"/>
  <c r="F5" i="1"/>
  <c r="F11" i="1"/>
  <c r="F21" i="1"/>
  <c r="F22" i="1"/>
  <c r="F25" i="1"/>
  <c r="F27" i="1"/>
  <c r="F32" i="1"/>
  <c r="F34" i="1"/>
  <c r="F35" i="1"/>
  <c r="F37" i="1"/>
  <c r="F38" i="1"/>
  <c r="F41" i="1"/>
  <c r="F10" i="1"/>
  <c r="F14" i="1"/>
  <c r="F19" i="1"/>
  <c r="F55" i="1"/>
  <c r="F56" i="1"/>
  <c r="F3" i="1"/>
  <c r="F42" i="1"/>
  <c r="F17" i="1"/>
  <c r="F23" i="1"/>
  <c r="F20" i="1"/>
  <c r="F24" i="1"/>
  <c r="F9" i="1"/>
  <c r="F44" i="1"/>
  <c r="F8" i="1"/>
  <c r="F16" i="1"/>
</calcChain>
</file>

<file path=xl/sharedStrings.xml><?xml version="1.0" encoding="utf-8"?>
<sst xmlns="http://schemas.openxmlformats.org/spreadsheetml/2006/main" count="1935" uniqueCount="166">
  <si>
    <t>Ontario</t>
  </si>
  <si>
    <t>Production ('000 tonnes)</t>
  </si>
  <si>
    <t xml:space="preserve">Acres harvested </t>
  </si>
  <si>
    <t>Yield (bushels/acre)</t>
  </si>
  <si>
    <t>Production ('000 bushels)</t>
  </si>
  <si>
    <t>Brant</t>
  </si>
  <si>
    <t>Chatham-Kent</t>
  </si>
  <si>
    <t>Elgin</t>
  </si>
  <si>
    <t>Essex</t>
  </si>
  <si>
    <t>Haldimand-Norfolk</t>
  </si>
  <si>
    <t>Hamilton</t>
  </si>
  <si>
    <t>Lambton</t>
  </si>
  <si>
    <t>Middlesex</t>
  </si>
  <si>
    <t>Niagara</t>
  </si>
  <si>
    <t>Oxford</t>
  </si>
  <si>
    <t>Southern Ontario</t>
  </si>
  <si>
    <t>Bruce</t>
  </si>
  <si>
    <t>Dufferin</t>
  </si>
  <si>
    <t>Grey</t>
  </si>
  <si>
    <t>Halton</t>
  </si>
  <si>
    <t>Huron</t>
  </si>
  <si>
    <t>Peel</t>
  </si>
  <si>
    <t>Perth</t>
  </si>
  <si>
    <t>Simcoe</t>
  </si>
  <si>
    <t>Waterloo</t>
  </si>
  <si>
    <t>Wellington</t>
  </si>
  <si>
    <t>Western Ontario</t>
  </si>
  <si>
    <t>Durham</t>
  </si>
  <si>
    <t>Haliburton</t>
  </si>
  <si>
    <t>Hastings</t>
  </si>
  <si>
    <t>Kawartha Lakes</t>
  </si>
  <si>
    <t>Muskoka</t>
  </si>
  <si>
    <t>Northumberland</t>
  </si>
  <si>
    <t>Parry Sound</t>
  </si>
  <si>
    <t>Peterborough</t>
  </si>
  <si>
    <t>Prince Edward</t>
  </si>
  <si>
    <t>York</t>
  </si>
  <si>
    <t>Central Ontario</t>
  </si>
  <si>
    <t>Frontenac</t>
  </si>
  <si>
    <t>Lanark</t>
  </si>
  <si>
    <t>Leeds and Grenville</t>
  </si>
  <si>
    <t>Lennox and Addington</t>
  </si>
  <si>
    <t>Ottawa</t>
  </si>
  <si>
    <t>Prescott and Russell</t>
  </si>
  <si>
    <t>Renfrew</t>
  </si>
  <si>
    <t>Stormont, Dundas and Glengarry</t>
  </si>
  <si>
    <t>Eastern Ontario</t>
  </si>
  <si>
    <t>Algoma</t>
  </si>
  <si>
    <t>Cochrane</t>
  </si>
  <si>
    <t>Greater Sudbury</t>
  </si>
  <si>
    <t>Kenora</t>
  </si>
  <si>
    <t>Manitoulin</t>
  </si>
  <si>
    <t>Nipissing</t>
  </si>
  <si>
    <t>Rainy River</t>
  </si>
  <si>
    <t>Sudbury</t>
  </si>
  <si>
    <t>Thunder Bay</t>
  </si>
  <si>
    <t>Timiskaming</t>
  </si>
  <si>
    <t>Northern Ontario</t>
  </si>
  <si>
    <t>Note: Please note that the figures above are estimates primarily derived from a probability survey conducted by Statistics Canada, in conjunction with other administrative data sources. The probability survey is designed to produce accurate field crop area and yield information for the province as a whole. However, the accuracy of county and district estimates may suffer, particularly when the level of farming activity in a given area is relatively small. Thus, a measure of caution is advised when using sub-provincial estimates.</t>
  </si>
  <si>
    <t>Acres seeded</t>
  </si>
  <si>
    <r>
      <t>Reference:</t>
    </r>
    <r>
      <rPr>
        <sz val="11"/>
        <rFont val="Arial"/>
        <family val="2"/>
      </rPr>
      <t xml:space="preserve"> Statistics Canada: Field Crop Reporting Series </t>
    </r>
  </si>
  <si>
    <t>Winter Wheat: Area and Production by County, 2016</t>
  </si>
  <si>
    <t>20 Feb 2017</t>
  </si>
  <si>
    <t>X</t>
  </si>
  <si>
    <t>-</t>
  </si>
  <si>
    <t>Winter Wheat: Area and Production by County, 2015</t>
  </si>
  <si>
    <t>Note: The above are estimates by OMAFRA, not a product of Statistics Canada</t>
  </si>
  <si>
    <t>20 July 2016</t>
  </si>
  <si>
    <t>Winter Wheat: Area and Production by County, 2014</t>
  </si>
  <si>
    <t>30 Sep 2015</t>
  </si>
  <si>
    <t>Winter Wheat: Area and Production by County, 2013</t>
  </si>
  <si>
    <t/>
  </si>
  <si>
    <t>24 Jul 2014</t>
  </si>
  <si>
    <t>Winter Wheat: Area and Production by County, 2012</t>
  </si>
  <si>
    <t>Winter Wheat: Area and Production by County, 2011</t>
  </si>
  <si>
    <t>Winter Wheat: Area and Production by County, 2010</t>
  </si>
  <si>
    <t>Acres remaining (June 1)</t>
  </si>
  <si>
    <r>
      <t>Reference:</t>
    </r>
    <r>
      <rPr>
        <sz val="11"/>
        <rFont val="Arial"/>
        <family val="2"/>
      </rPr>
      <t xml:space="preserve"> Statistics Canada: Field Crop Reporting Series and Agricorp</t>
    </r>
  </si>
  <si>
    <t>Winter Wheat: Area and Production by County, 2009</t>
  </si>
  <si>
    <r>
      <t>Reference:</t>
    </r>
    <r>
      <rPr>
        <sz val="12"/>
        <rFont val="Arial"/>
        <family val="2"/>
      </rPr>
      <t xml:space="preserve"> Statistics Canada: Field Crop Reporting Series and Agricorp</t>
    </r>
  </si>
  <si>
    <t>Winter Wheat: Area and Production by County, 2008</t>
  </si>
  <si>
    <t>Sudbury District</t>
  </si>
  <si>
    <t>Sudbury Regional Municipality</t>
  </si>
  <si>
    <t>Winter Wheat: Area and Production by County, 2007</t>
  </si>
  <si>
    <t>x</t>
  </si>
  <si>
    <t>Winter Wheat: Area and Production by County, 2006</t>
  </si>
  <si>
    <t>Acres remaining (2006 Census)</t>
  </si>
  <si>
    <t>Brant County</t>
  </si>
  <si>
    <t>Chatham-Kent Division</t>
  </si>
  <si>
    <t>Elgin County</t>
  </si>
  <si>
    <t>Essex County</t>
  </si>
  <si>
    <t>Haldimand-Norfolk Regional Municipality</t>
  </si>
  <si>
    <t>Hamilton Division</t>
  </si>
  <si>
    <t>Lambton County</t>
  </si>
  <si>
    <t>Middlesex County</t>
  </si>
  <si>
    <t>Niagara Regional Municipality</t>
  </si>
  <si>
    <t>Oxford County</t>
  </si>
  <si>
    <t>Bruce County</t>
  </si>
  <si>
    <t>Dufferin County</t>
  </si>
  <si>
    <t>Grey County</t>
  </si>
  <si>
    <t>Halton Regional Municipality</t>
  </si>
  <si>
    <t>Huron County</t>
  </si>
  <si>
    <t>Peel Regional Municipality</t>
  </si>
  <si>
    <t>Perth County</t>
  </si>
  <si>
    <t>Simcoe County</t>
  </si>
  <si>
    <t>Waterloo Regional Municipality</t>
  </si>
  <si>
    <t>Wellington County</t>
  </si>
  <si>
    <t>Durham Regional Municipality</t>
  </si>
  <si>
    <t>Haliburton County</t>
  </si>
  <si>
    <t>Hastings County</t>
  </si>
  <si>
    <t>Kawartha Lakes Division</t>
  </si>
  <si>
    <t>Muskoka District Municipality</t>
  </si>
  <si>
    <t>Northumberland County</t>
  </si>
  <si>
    <t>Parry Sound District</t>
  </si>
  <si>
    <t>Peterborough County</t>
  </si>
  <si>
    <t>Prince Edward Division</t>
  </si>
  <si>
    <t>York Regional Municipality</t>
  </si>
  <si>
    <t>Frontenac County</t>
  </si>
  <si>
    <t>Lanark County</t>
  </si>
  <si>
    <t>Leeds and Grenville United Counties</t>
  </si>
  <si>
    <t>Lennox and Addington County</t>
  </si>
  <si>
    <t>Ottawa Division</t>
  </si>
  <si>
    <t>Prescott and Russell United Counties</t>
  </si>
  <si>
    <t>Renfrew County</t>
  </si>
  <si>
    <t>Stormont, Dundas and Glengarry Counties</t>
  </si>
  <si>
    <t>Algoma District</t>
  </si>
  <si>
    <t>Cochrane District</t>
  </si>
  <si>
    <t>Kenora District</t>
  </si>
  <si>
    <t>Manitoulin District</t>
  </si>
  <si>
    <t>Nipissing District</t>
  </si>
  <si>
    <t>Rainy River District</t>
  </si>
  <si>
    <t>Thunder Bay District</t>
  </si>
  <si>
    <t>Timiskaming District</t>
  </si>
  <si>
    <t>Winter Wheat: Area and Production by County, 2005</t>
  </si>
  <si>
    <t>Acres seeded remaining June 1</t>
  </si>
  <si>
    <t>Southern Ontario Region</t>
  </si>
  <si>
    <t>Western Ontario Region</t>
  </si>
  <si>
    <t>Central Ontario Region</t>
  </si>
  <si>
    <t>Eastern Ontario Region</t>
  </si>
  <si>
    <t>Northern Ontario Region</t>
  </si>
  <si>
    <t>Winter Wheat: Area and Production by County, 2004</t>
  </si>
  <si>
    <t>June 1 area (acres)</t>
  </si>
  <si>
    <t>Harvested area (acres)</t>
  </si>
  <si>
    <t>Yield (bu/acre)</t>
  </si>
  <si>
    <t>Production ('000 bu)</t>
  </si>
  <si>
    <t>Prepared in March 2005</t>
  </si>
  <si>
    <t>Winter Wheat: Area and Production by County, 2018</t>
  </si>
  <si>
    <t>28 Feb 2019</t>
  </si>
  <si>
    <t>Winter Wheat: Area and Production by County, 2017</t>
  </si>
  <si>
    <t>Winter Wheat: Area and Production by County, 2019</t>
  </si>
  <si>
    <t>10 Mar 2020</t>
  </si>
  <si>
    <t xml:space="preserve">Winter Wheat: Area and Production by County, 2004-2019 </t>
  </si>
  <si>
    <t>Winter Wheat: Area and Production by County, 2004-2020</t>
  </si>
  <si>
    <t>Winter Wheat: Area and Production by County, 2020</t>
  </si>
  <si>
    <t>15/3/2021</t>
  </si>
  <si>
    <t>.. not available for a specific reference period or zero; x suppressed tdue to  confidentiality requirements</t>
  </si>
  <si>
    <t>Winter Wheat: Area and Production by County, 2004-2021</t>
  </si>
  <si>
    <t>Winter Wheat: Area and Production by County, 2021</t>
  </si>
  <si>
    <t>Winter Wheat: Area and Production by County, 2004-2022</t>
  </si>
  <si>
    <t>Winter Wheat: Area and Production by County, 2022</t>
  </si>
  <si>
    <t>15/3/2023</t>
  </si>
  <si>
    <t>Winter Wheat: Area and Production by County, 2023</t>
  </si>
  <si>
    <t>15/3/2024</t>
  </si>
  <si>
    <t>Winter Wheat: Area and Production by County, 2004-2023</t>
  </si>
  <si>
    <t>Winter Wheat: Area and Production by County, 2004-2024</t>
  </si>
  <si>
    <t>Winter Wheat: Area and Production by County,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</si>
</sst>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_)"/>
    <numFmt numFmtId="165" formatCode="0_)"/>
    <numFmt numFmtId="166" formatCode="0.0_)"/>
    <numFmt numFmtId="167" formatCode="#,##0.0_);\(#,##0.0\)"/>
    <numFmt numFmtId="168" formatCode="_-* #,##0_-;\-* #,##0_-;_-* &quot;-&quot;??_-;_-@_-"/>
    <numFmt numFmtId="169" formatCode="#,##0.0"/>
    <numFmt numFmtId="170" formatCode="_-* #,##0.0_-;\-* #,##0.0_-;_-* &quot;-&quot;??_-;_-@_-"/>
  </numFmts>
  <fonts count="10" x14ac:knownFonts="1">
    <font>
      <sz val="12"/>
      <name val="Arial"/>
    </font>
    <font>
      <sz val="12"/>
      <name val="Times New Roman"/>
      <family val="1"/>
    </font>
    <font>
      <sz val="11"/>
      <name val="Arial"/>
      <family val="2"/>
    </font>
    <font>
      <b/>
      <sz val="11"/>
      <name val="Arial"/>
      <family val="2"/>
    </font>
    <font>
      <sz val="11"/>
      <name val="Arial"/>
      <family val="2"/>
    </font>
    <font>
      <sz val="11"/>
      <name val="Arial"/>
      <family val="2"/>
    </font>
    <font>
      <b/>
      <sz val="11"/>
      <name val="Arial"/>
      <family val="2"/>
    </font>
    <font>
      <b/>
      <sz val="12"/>
      <name val="Arial"/>
      <family val="2"/>
    </font>
    <font>
      <b/>
      <sz val="14"/>
      <name val="Arial"/>
      <family val="2"/>
    </font>
    <font>
      <sz val="12"/>
      <name val="Arial"/>
      <family val="2"/>
    </font>
  </fonts>
  <fills count="2">
    <fill>
      <patternFill patternType="none"/>
    </fill>
    <fill>
      <patternFill patternType="gray125"/>
    </fill>
  </fills>
  <borders count="20">
    <border>
      <left/>
      <right/>
      <top/>
      <bottom/>
      <diagonal/>
    </border>
    <border>
      <left/>
      <right/>
      <top style="medium">
        <color indexed="8"/>
      </top>
      <bottom style="medium">
        <color indexed="8"/>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medium">
        <color indexed="8"/>
      </bottom>
      <diagonal/>
    </border>
    <border>
      <left/>
      <right/>
      <top/>
      <bottom style="thin">
        <color indexed="8"/>
      </bottom>
      <diagonal/>
    </border>
    <border>
      <left style="thin">
        <color indexed="64"/>
      </left>
      <right/>
      <top style="thin">
        <color indexed="64"/>
      </top>
      <bottom style="medium">
        <color indexed="8"/>
      </bottom>
      <diagonal/>
    </border>
    <border>
      <left/>
      <right/>
      <top style="thin">
        <color indexed="64"/>
      </top>
      <bottom style="medium">
        <color indexed="8"/>
      </bottom>
      <diagonal/>
    </border>
    <border>
      <left/>
      <right style="thin">
        <color indexed="64"/>
      </right>
      <top style="thin">
        <color indexed="64"/>
      </top>
      <bottom style="medium">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166" fontId="0" fillId="0" borderId="0"/>
    <xf numFmtId="43" fontId="1" fillId="0" borderId="0" applyFont="0" applyFill="0" applyBorder="0" applyAlignment="0" applyProtection="0"/>
  </cellStyleXfs>
  <cellXfs count="120">
    <xf numFmtId="166" fontId="0" fillId="0" borderId="0" xfId="0"/>
    <xf numFmtId="166" fontId="2" fillId="0" borderId="0" xfId="0" applyFont="1"/>
    <xf numFmtId="166" fontId="2" fillId="0" borderId="0" xfId="0" applyFont="1" applyAlignment="1" applyProtection="1">
      <alignment horizontal="centerContinuous"/>
    </xf>
    <xf numFmtId="166" fontId="2" fillId="0" borderId="0" xfId="0" applyFont="1" applyProtection="1"/>
    <xf numFmtId="164" fontId="2" fillId="0" borderId="0" xfId="0" applyNumberFormat="1" applyFont="1" applyProtection="1"/>
    <xf numFmtId="165" fontId="2" fillId="0" borderId="0" xfId="0" applyNumberFormat="1" applyFont="1" applyProtection="1"/>
    <xf numFmtId="37" fontId="2" fillId="0" borderId="0" xfId="0" applyNumberFormat="1" applyFont="1" applyProtection="1"/>
    <xf numFmtId="167" fontId="2" fillId="0" borderId="0" xfId="0" applyNumberFormat="1" applyFont="1" applyProtection="1"/>
    <xf numFmtId="166" fontId="2" fillId="0" borderId="0" xfId="0" applyNumberFormat="1" applyFont="1" applyProtection="1"/>
    <xf numFmtId="166" fontId="3" fillId="0" borderId="0" xfId="0" applyFont="1" applyProtection="1"/>
    <xf numFmtId="37" fontId="3" fillId="0" borderId="0" xfId="0" applyNumberFormat="1" applyFont="1" applyProtection="1"/>
    <xf numFmtId="164" fontId="3" fillId="0" borderId="0" xfId="0" applyNumberFormat="1" applyFont="1" applyProtection="1"/>
    <xf numFmtId="37" fontId="2" fillId="0" borderId="0" xfId="0" applyNumberFormat="1" applyFont="1" applyAlignment="1" applyProtection="1">
      <alignment horizontal="centerContinuous"/>
    </xf>
    <xf numFmtId="166" fontId="2" fillId="0" borderId="0" xfId="0" applyNumberFormat="1" applyFont="1" applyAlignment="1" applyProtection="1">
      <alignment horizontal="centerContinuous"/>
    </xf>
    <xf numFmtId="167" fontId="2" fillId="0" borderId="0" xfId="0" applyNumberFormat="1" applyFont="1" applyAlignment="1" applyProtection="1">
      <alignment horizontal="centerContinuous"/>
    </xf>
    <xf numFmtId="37" fontId="2" fillId="0" borderId="0" xfId="0" applyNumberFormat="1" applyFont="1" applyBorder="1" applyProtection="1"/>
    <xf numFmtId="3" fontId="2" fillId="0" borderId="0" xfId="0" applyNumberFormat="1" applyFont="1" applyProtection="1"/>
    <xf numFmtId="166" fontId="3" fillId="0" borderId="0" xfId="0" applyFont="1"/>
    <xf numFmtId="166" fontId="3" fillId="0" borderId="1" xfId="0" applyFont="1" applyBorder="1" applyProtection="1"/>
    <xf numFmtId="166" fontId="3" fillId="0" borderId="1" xfId="0" applyFont="1" applyBorder="1" applyAlignment="1" applyProtection="1">
      <alignment horizontal="center" wrapText="1"/>
    </xf>
    <xf numFmtId="166" fontId="2" fillId="0" borderId="0" xfId="0" applyFont="1" applyBorder="1" applyProtection="1"/>
    <xf numFmtId="167" fontId="2" fillId="0" borderId="0" xfId="0" applyNumberFormat="1" applyFont="1" applyBorder="1" applyProtection="1"/>
    <xf numFmtId="166" fontId="2" fillId="0" borderId="0" xfId="0" applyFont="1" applyBorder="1"/>
    <xf numFmtId="166" fontId="3" fillId="0" borderId="0" xfId="0" quotePrefix="1" applyFont="1" applyAlignment="1">
      <alignment horizontal="left"/>
    </xf>
    <xf numFmtId="166" fontId="2" fillId="0" borderId="0" xfId="0" quotePrefix="1" applyFont="1" applyAlignment="1">
      <alignment horizontal="left"/>
    </xf>
    <xf numFmtId="3" fontId="3" fillId="0" borderId="0" xfId="0" applyNumberFormat="1" applyFont="1" applyAlignment="1">
      <alignment horizontal="right"/>
    </xf>
    <xf numFmtId="3" fontId="3" fillId="0" borderId="0" xfId="0" applyNumberFormat="1" applyFont="1" applyAlignment="1" applyProtection="1">
      <alignment horizontal="right"/>
    </xf>
    <xf numFmtId="169" fontId="3" fillId="0" borderId="0" xfId="0" applyNumberFormat="1" applyFont="1" applyAlignment="1" applyProtection="1">
      <alignment horizontal="right"/>
    </xf>
    <xf numFmtId="166" fontId="3" fillId="0" borderId="2" xfId="0" applyFont="1" applyBorder="1" applyProtection="1"/>
    <xf numFmtId="166" fontId="3" fillId="0" borderId="3" xfId="0" applyFont="1" applyBorder="1" applyAlignment="1" applyProtection="1">
      <alignment horizontal="center" wrapText="1"/>
    </xf>
    <xf numFmtId="169" fontId="3" fillId="0" borderId="3" xfId="0" applyNumberFormat="1" applyFont="1" applyBorder="1" applyAlignment="1" applyProtection="1">
      <alignment horizontal="center" wrapText="1"/>
    </xf>
    <xf numFmtId="166" fontId="3" fillId="0" borderId="4" xfId="0" applyFont="1" applyBorder="1" applyAlignment="1" applyProtection="1">
      <alignment horizontal="center" wrapText="1"/>
    </xf>
    <xf numFmtId="166" fontId="2" fillId="0" borderId="5" xfId="0" applyFont="1" applyBorder="1"/>
    <xf numFmtId="169" fontId="2" fillId="0" borderId="6" xfId="0" applyNumberFormat="1" applyFont="1" applyBorder="1"/>
    <xf numFmtId="166" fontId="3" fillId="0" borderId="5" xfId="0" quotePrefix="1" applyFont="1" applyBorder="1" applyAlignment="1">
      <alignment horizontal="left"/>
    </xf>
    <xf numFmtId="166" fontId="2" fillId="0" borderId="5" xfId="0" quotePrefix="1" applyFont="1" applyBorder="1" applyAlignment="1">
      <alignment horizontal="left"/>
    </xf>
    <xf numFmtId="166" fontId="3" fillId="0" borderId="7" xfId="0" applyFont="1" applyBorder="1"/>
    <xf numFmtId="169" fontId="3" fillId="0" borderId="6" xfId="0" applyNumberFormat="1" applyFont="1" applyBorder="1"/>
    <xf numFmtId="169" fontId="3" fillId="0" borderId="8" xfId="0" applyNumberFormat="1" applyFont="1" applyBorder="1"/>
    <xf numFmtId="3" fontId="3" fillId="0" borderId="3" xfId="0" quotePrefix="1" applyNumberFormat="1" applyFont="1" applyBorder="1" applyAlignment="1" applyProtection="1">
      <alignment horizontal="center" wrapText="1"/>
    </xf>
    <xf numFmtId="168" fontId="2" fillId="0" borderId="0" xfId="1" applyNumberFormat="1" applyFont="1" applyBorder="1"/>
    <xf numFmtId="166" fontId="2" fillId="0" borderId="0" xfId="0" quotePrefix="1" applyFont="1" applyProtection="1"/>
    <xf numFmtId="170" fontId="2" fillId="0" borderId="0" xfId="1" applyNumberFormat="1" applyFont="1" applyProtection="1"/>
    <xf numFmtId="170" fontId="3" fillId="0" borderId="0" xfId="1" applyNumberFormat="1" applyFont="1" applyProtection="1"/>
    <xf numFmtId="168" fontId="2" fillId="0" borderId="0" xfId="1" applyNumberFormat="1" applyFont="1" applyProtection="1"/>
    <xf numFmtId="168" fontId="3" fillId="0" borderId="0" xfId="1" applyNumberFormat="1" applyFont="1" applyProtection="1"/>
    <xf numFmtId="168" fontId="2" fillId="0" borderId="0" xfId="1" applyNumberFormat="1" applyFont="1"/>
    <xf numFmtId="168" fontId="3" fillId="0" borderId="0" xfId="1" applyNumberFormat="1" applyFont="1"/>
    <xf numFmtId="166" fontId="3" fillId="0" borderId="9" xfId="0" quotePrefix="1" applyFont="1" applyBorder="1" applyAlignment="1" applyProtection="1"/>
    <xf numFmtId="166" fontId="3" fillId="0" borderId="9" xfId="0" applyFont="1" applyBorder="1" applyAlignment="1" applyProtection="1"/>
    <xf numFmtId="170" fontId="2" fillId="0" borderId="0" xfId="1" applyNumberFormat="1" applyFont="1"/>
    <xf numFmtId="170" fontId="3" fillId="0" borderId="0" xfId="1" applyNumberFormat="1" applyFont="1"/>
    <xf numFmtId="3" fontId="2" fillId="0" borderId="0" xfId="0" applyNumberFormat="1" applyFont="1" applyBorder="1"/>
    <xf numFmtId="169" fontId="2" fillId="0" borderId="0" xfId="0" applyNumberFormat="1" applyFont="1" applyBorder="1" applyProtection="1"/>
    <xf numFmtId="3" fontId="3" fillId="0" borderId="0" xfId="0" applyNumberFormat="1" applyFont="1" applyBorder="1"/>
    <xf numFmtId="169" fontId="3" fillId="0" borderId="0" xfId="0" applyNumberFormat="1" applyFont="1" applyBorder="1" applyProtection="1"/>
    <xf numFmtId="168" fontId="2" fillId="0" borderId="0" xfId="1" quotePrefix="1" applyNumberFormat="1" applyFont="1" applyBorder="1" applyAlignment="1">
      <alignment horizontal="right"/>
    </xf>
    <xf numFmtId="3" fontId="3" fillId="0" borderId="9" xfId="0" applyNumberFormat="1" applyFont="1" applyBorder="1"/>
    <xf numFmtId="169" fontId="3" fillId="0" borderId="9" xfId="0" applyNumberFormat="1" applyFont="1" applyBorder="1" applyProtection="1"/>
    <xf numFmtId="166" fontId="3" fillId="0" borderId="0" xfId="0" quotePrefix="1" applyFont="1" applyBorder="1" applyAlignment="1" applyProtection="1">
      <alignment horizontal="left"/>
    </xf>
    <xf numFmtId="166" fontId="3" fillId="0" borderId="0" xfId="0" applyFont="1" applyBorder="1" applyAlignment="1" applyProtection="1">
      <alignment horizontal="left"/>
    </xf>
    <xf numFmtId="166" fontId="2" fillId="0" borderId="0" xfId="0" quotePrefix="1" applyFont="1" applyAlignment="1">
      <alignment horizontal="left" wrapText="1"/>
    </xf>
    <xf numFmtId="166" fontId="3" fillId="0" borderId="1" xfId="0" quotePrefix="1" applyFont="1" applyBorder="1" applyAlignment="1" applyProtection="1">
      <alignment horizontal="center" wrapText="1"/>
    </xf>
    <xf numFmtId="3" fontId="2" fillId="0" borderId="0" xfId="0" applyNumberFormat="1" applyFont="1"/>
    <xf numFmtId="169" fontId="2" fillId="0" borderId="0" xfId="0" applyNumberFormat="1" applyFont="1"/>
    <xf numFmtId="3" fontId="3" fillId="0" borderId="0" xfId="0" applyNumberFormat="1" applyFont="1" applyProtection="1"/>
    <xf numFmtId="169" fontId="3" fillId="0" borderId="0" xfId="0" applyNumberFormat="1" applyFont="1" applyProtection="1"/>
    <xf numFmtId="3" fontId="3" fillId="0" borderId="0" xfId="0" applyNumberFormat="1" applyFont="1"/>
    <xf numFmtId="169" fontId="3" fillId="0" borderId="0" xfId="0" applyNumberFormat="1" applyFont="1"/>
    <xf numFmtId="3" fontId="2" fillId="0" borderId="0" xfId="0" applyNumberFormat="1" applyFont="1" applyAlignment="1" applyProtection="1">
      <alignment horizontal="right"/>
    </xf>
    <xf numFmtId="166" fontId="6" fillId="0" borderId="0" xfId="0" applyFont="1"/>
    <xf numFmtId="166" fontId="7" fillId="0" borderId="0" xfId="0" applyFont="1"/>
    <xf numFmtId="3" fontId="2" fillId="0" borderId="0" xfId="0" applyNumberFormat="1" applyFont="1" applyAlignment="1">
      <alignment horizontal="right"/>
    </xf>
    <xf numFmtId="165" fontId="3" fillId="0" borderId="0" xfId="0" applyNumberFormat="1" applyFont="1" applyProtection="1"/>
    <xf numFmtId="169" fontId="2" fillId="0" borderId="0" xfId="0" applyNumberFormat="1" applyFont="1" applyProtection="1"/>
    <xf numFmtId="169" fontId="2" fillId="0" borderId="0" xfId="0" applyNumberFormat="1" applyFont="1" applyAlignment="1">
      <alignment horizontal="right"/>
    </xf>
    <xf numFmtId="169" fontId="3" fillId="0" borderId="0" xfId="0" applyNumberFormat="1" applyFont="1" applyAlignment="1">
      <alignment horizontal="right"/>
    </xf>
    <xf numFmtId="166" fontId="2" fillId="0" borderId="11" xfId="0" applyFont="1" applyBorder="1" applyProtection="1"/>
    <xf numFmtId="37" fontId="2" fillId="0" borderId="11" xfId="0" applyNumberFormat="1" applyFont="1" applyBorder="1" applyProtection="1"/>
    <xf numFmtId="167" fontId="2" fillId="0" borderId="11" xfId="0" applyNumberFormat="1" applyFont="1" applyBorder="1" applyProtection="1"/>
    <xf numFmtId="166" fontId="3" fillId="0" borderId="0" xfId="0" quotePrefix="1" applyFont="1" applyBorder="1" applyAlignment="1" applyProtection="1"/>
    <xf numFmtId="166" fontId="3" fillId="0" borderId="0" xfId="0" applyFont="1" applyBorder="1" applyAlignment="1" applyProtection="1"/>
    <xf numFmtId="166" fontId="3" fillId="0" borderId="12" xfId="0" applyFont="1" applyBorder="1" applyProtection="1"/>
    <xf numFmtId="3" fontId="3" fillId="0" borderId="13" xfId="0" quotePrefix="1" applyNumberFormat="1" applyFont="1" applyBorder="1" applyAlignment="1" applyProtection="1">
      <alignment horizontal="center" wrapText="1"/>
    </xf>
    <xf numFmtId="166" fontId="3" fillId="0" borderId="13" xfId="0" applyFont="1" applyBorder="1" applyAlignment="1" applyProtection="1">
      <alignment horizontal="center" wrapText="1"/>
    </xf>
    <xf numFmtId="169" fontId="3" fillId="0" borderId="13" xfId="0" applyNumberFormat="1" applyFont="1" applyBorder="1" applyAlignment="1" applyProtection="1">
      <alignment horizontal="center" wrapText="1"/>
    </xf>
    <xf numFmtId="166" fontId="3" fillId="0" borderId="14" xfId="0" applyFont="1" applyBorder="1" applyAlignment="1" applyProtection="1">
      <alignment horizontal="center" wrapText="1"/>
    </xf>
    <xf numFmtId="166" fontId="2" fillId="0" borderId="15" xfId="0" applyFont="1" applyBorder="1"/>
    <xf numFmtId="168" fontId="2" fillId="0" borderId="0" xfId="1" applyNumberFormat="1" applyFont="1" applyBorder="1" applyProtection="1"/>
    <xf numFmtId="170" fontId="2" fillId="0" borderId="0" xfId="1" applyNumberFormat="1" applyFont="1" applyBorder="1" applyProtection="1"/>
    <xf numFmtId="169" fontId="2" fillId="0" borderId="16" xfId="0" applyNumberFormat="1" applyFont="1" applyBorder="1"/>
    <xf numFmtId="166" fontId="3" fillId="0" borderId="15" xfId="0" quotePrefix="1" applyFont="1" applyBorder="1" applyAlignment="1">
      <alignment horizontal="left"/>
    </xf>
    <xf numFmtId="168" fontId="3" fillId="0" borderId="0" xfId="1" applyNumberFormat="1" applyFont="1" applyBorder="1"/>
    <xf numFmtId="168" fontId="3" fillId="0" borderId="0" xfId="1" applyNumberFormat="1" applyFont="1" applyBorder="1" applyProtection="1"/>
    <xf numFmtId="170" fontId="3" fillId="0" borderId="0" xfId="1" applyNumberFormat="1" applyFont="1" applyBorder="1" applyProtection="1"/>
    <xf numFmtId="169" fontId="3" fillId="0" borderId="16" xfId="0" applyNumberFormat="1" applyFont="1" applyBorder="1"/>
    <xf numFmtId="168" fontId="2" fillId="0" borderId="16" xfId="1" applyNumberFormat="1" applyFont="1" applyBorder="1" applyProtection="1"/>
    <xf numFmtId="170" fontId="2" fillId="0" borderId="16" xfId="1" applyNumberFormat="1" applyFont="1" applyBorder="1" applyProtection="1"/>
    <xf numFmtId="170" fontId="3" fillId="0" borderId="16" xfId="1" applyNumberFormat="1" applyFont="1" applyBorder="1" applyProtection="1"/>
    <xf numFmtId="166" fontId="2" fillId="0" borderId="15" xfId="0" quotePrefix="1" applyFont="1" applyBorder="1" applyAlignment="1">
      <alignment horizontal="left"/>
    </xf>
    <xf numFmtId="166" fontId="3" fillId="0" borderId="17" xfId="0" applyFont="1" applyBorder="1"/>
    <xf numFmtId="168" fontId="3" fillId="0" borderId="18" xfId="1" applyNumberFormat="1" applyFont="1" applyBorder="1"/>
    <xf numFmtId="168" fontId="3" fillId="0" borderId="18" xfId="1" applyNumberFormat="1" applyFont="1" applyBorder="1" applyProtection="1"/>
    <xf numFmtId="170" fontId="3" fillId="0" borderId="18" xfId="1" applyNumberFormat="1" applyFont="1" applyBorder="1" applyProtection="1"/>
    <xf numFmtId="169" fontId="3" fillId="0" borderId="19" xfId="0" applyNumberFormat="1" applyFont="1" applyBorder="1"/>
    <xf numFmtId="166" fontId="2" fillId="0" borderId="0" xfId="0" quotePrefix="1" applyFont="1" applyAlignment="1">
      <alignment wrapText="1"/>
    </xf>
    <xf numFmtId="166" fontId="8" fillId="0" borderId="0" xfId="0" quotePrefix="1" applyFont="1" applyBorder="1" applyAlignment="1" applyProtection="1"/>
    <xf numFmtId="166" fontId="4" fillId="0" borderId="0" xfId="0" quotePrefix="1" applyFont="1" applyAlignment="1">
      <alignment wrapText="1"/>
    </xf>
    <xf numFmtId="166" fontId="3" fillId="0" borderId="10" xfId="0" quotePrefix="1" applyFont="1" applyBorder="1" applyAlignment="1" applyProtection="1"/>
    <xf numFmtId="166" fontId="3" fillId="0" borderId="10" xfId="0" applyFont="1" applyBorder="1" applyAlignment="1" applyProtection="1"/>
    <xf numFmtId="166" fontId="5" fillId="0" borderId="0" xfId="0" quotePrefix="1" applyFont="1" applyAlignment="1">
      <alignment wrapText="1"/>
    </xf>
    <xf numFmtId="170" fontId="2" fillId="0" borderId="16" xfId="1" applyNumberFormat="1" applyFont="1" applyBorder="1"/>
    <xf numFmtId="170" fontId="3" fillId="0" borderId="16" xfId="1" applyNumberFormat="1" applyFont="1" applyBorder="1"/>
    <xf numFmtId="170" fontId="2" fillId="0" borderId="0" xfId="1" applyNumberFormat="1" applyFont="1" applyBorder="1"/>
    <xf numFmtId="170" fontId="3" fillId="0" borderId="19" xfId="1" applyNumberFormat="1" applyFont="1" applyBorder="1"/>
    <xf numFmtId="43" fontId="2" fillId="0" borderId="0" xfId="1" applyFont="1" applyProtection="1"/>
    <xf numFmtId="43" fontId="3" fillId="0" borderId="0" xfId="1" applyFont="1"/>
    <xf numFmtId="43" fontId="2" fillId="0" borderId="0" xfId="1" applyFont="1" applyBorder="1" applyProtection="1"/>
    <xf numFmtId="168" fontId="2" fillId="0" borderId="0" xfId="1" applyNumberFormat="1" applyFont="1" applyBorder="1" applyAlignment="1">
      <alignment horizontal="right" indent="1"/>
    </xf>
    <xf numFmtId="43" fontId="2" fillId="0" borderId="0" xfId="1" quotePrefix="1" applyFont="1" applyAlignment="1">
      <alignment wrapText="1"/>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7EC8-2ED8-4FE5-9BEC-53C8171E556B}">
  <dimension ref="A1:P83"/>
  <sheetViews>
    <sheetView tabSelected="1" workbookViewId="0">
      <selection activeCell="B4" sqref="B4:F57"/>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7" width="9.77734375" style="1"/>
    <col min="8" max="9" width="11.21875" style="1" bestFit="1" customWidth="1"/>
    <col min="10" max="10" width="9.88671875" style="1" bestFit="1" customWidth="1"/>
    <col min="11" max="11" width="10.33203125" style="1" bestFit="1" customWidth="1"/>
    <col min="12" max="12" width="10.21875" style="1" bestFit="1" customWidth="1"/>
    <col min="13" max="13" width="9.88671875" style="1" bestFit="1" customWidth="1"/>
    <col min="14" max="14" width="12.44140625" style="1" bestFit="1" customWidth="1"/>
    <col min="15" max="16384" width="9.77734375" style="1"/>
  </cols>
  <sheetData>
    <row r="1" spans="1:16" ht="18" x14ac:dyDescent="0.25">
      <c r="A1" s="106" t="s">
        <v>164</v>
      </c>
    </row>
    <row r="2" spans="1:16" ht="15" x14ac:dyDescent="0.25">
      <c r="A2" s="80" t="s">
        <v>165</v>
      </c>
      <c r="B2" s="81"/>
      <c r="C2" s="81"/>
      <c r="D2" s="81"/>
      <c r="E2" s="81"/>
      <c r="F2" s="81"/>
      <c r="G2" s="3"/>
      <c r="H2" s="3"/>
      <c r="I2" s="3"/>
      <c r="J2" s="3"/>
    </row>
    <row r="3" spans="1:16" ht="47.25" customHeight="1" thickBot="1" x14ac:dyDescent="0.3">
      <c r="A3" s="82"/>
      <c r="B3" s="83" t="s">
        <v>59</v>
      </c>
      <c r="C3" s="84" t="s">
        <v>2</v>
      </c>
      <c r="D3" s="85" t="s">
        <v>3</v>
      </c>
      <c r="E3" s="84" t="s">
        <v>4</v>
      </c>
      <c r="F3" s="86" t="s">
        <v>1</v>
      </c>
      <c r="G3" s="3"/>
      <c r="H3" s="3"/>
      <c r="I3" s="3"/>
      <c r="J3" s="3"/>
    </row>
    <row r="4" spans="1:16" x14ac:dyDescent="0.2">
      <c r="A4" s="87" t="s">
        <v>5</v>
      </c>
      <c r="B4" s="40">
        <v>9060.8710144099459</v>
      </c>
      <c r="C4" s="88">
        <v>8537.8826430046738</v>
      </c>
      <c r="D4" s="89">
        <v>94.512931404978843</v>
      </c>
      <c r="E4" s="89">
        <v>806.94031658206029</v>
      </c>
      <c r="F4" s="111">
        <v>21.961145127968113</v>
      </c>
      <c r="G4" s="74"/>
      <c r="H4" s="16"/>
      <c r="I4" s="16"/>
      <c r="J4" s="16"/>
      <c r="K4" s="46"/>
      <c r="L4" s="46"/>
      <c r="M4" s="46"/>
      <c r="N4" s="50"/>
      <c r="O4" s="50"/>
      <c r="P4" s="50"/>
    </row>
    <row r="5" spans="1:16" x14ac:dyDescent="0.2">
      <c r="A5" s="87" t="s">
        <v>6</v>
      </c>
      <c r="B5" s="40">
        <v>85247.725351275803</v>
      </c>
      <c r="C5" s="88">
        <v>80327.274659883755</v>
      </c>
      <c r="D5" s="89">
        <v>98.65219463241408</v>
      </c>
      <c r="E5" s="89">
        <v>7924.461934038236</v>
      </c>
      <c r="F5" s="111">
        <v>215.66682816346167</v>
      </c>
      <c r="G5" s="74"/>
      <c r="H5" s="16"/>
      <c r="I5" s="16"/>
      <c r="J5" s="16"/>
      <c r="K5" s="46"/>
      <c r="L5" s="46"/>
      <c r="M5" s="46"/>
      <c r="N5" s="50"/>
      <c r="O5" s="50"/>
      <c r="P5" s="50"/>
    </row>
    <row r="6" spans="1:16" x14ac:dyDescent="0.2">
      <c r="A6" s="87" t="s">
        <v>7</v>
      </c>
      <c r="B6" s="40">
        <v>38197.933369934632</v>
      </c>
      <c r="C6" s="88">
        <v>35993.170170853802</v>
      </c>
      <c r="D6" s="89">
        <v>97.634950041087379</v>
      </c>
      <c r="E6" s="89">
        <v>3514.1913714516677</v>
      </c>
      <c r="F6" s="111">
        <v>95.639869678088061</v>
      </c>
      <c r="G6" s="74"/>
      <c r="H6" s="16"/>
      <c r="I6" s="16"/>
      <c r="J6" s="16"/>
      <c r="K6" s="46"/>
      <c r="L6" s="46"/>
      <c r="M6" s="46"/>
      <c r="N6" s="50"/>
      <c r="O6" s="50"/>
      <c r="P6" s="50"/>
    </row>
    <row r="7" spans="1:16" x14ac:dyDescent="0.2">
      <c r="A7" s="87" t="s">
        <v>8</v>
      </c>
      <c r="B7" s="40">
        <v>41069.103748033725</v>
      </c>
      <c r="C7" s="88">
        <v>38698.61821191918</v>
      </c>
      <c r="D7" s="89">
        <v>93.813667995309828</v>
      </c>
      <c r="E7" s="89">
        <v>3630.459320810236</v>
      </c>
      <c r="F7" s="111">
        <v>98.804140017696383</v>
      </c>
      <c r="G7" s="74"/>
      <c r="H7" s="16"/>
      <c r="I7" s="16"/>
      <c r="J7" s="16"/>
      <c r="K7" s="46"/>
      <c r="L7" s="46"/>
      <c r="M7" s="46"/>
      <c r="N7" s="50"/>
      <c r="O7" s="50"/>
      <c r="P7" s="50"/>
    </row>
    <row r="8" spans="1:16" x14ac:dyDescent="0.2">
      <c r="A8" s="87" t="s">
        <v>9</v>
      </c>
      <c r="B8" s="40">
        <v>43122.558935435474</v>
      </c>
      <c r="C8" s="88">
        <v>40633.5491225152</v>
      </c>
      <c r="D8" s="89">
        <v>93.627661255906077</v>
      </c>
      <c r="E8" s="89">
        <v>3804.4241728680727</v>
      </c>
      <c r="F8" s="111">
        <v>103.53865046995625</v>
      </c>
      <c r="G8" s="74"/>
      <c r="H8" s="16"/>
      <c r="I8" s="16"/>
      <c r="J8" s="16"/>
      <c r="K8" s="46"/>
      <c r="L8" s="46"/>
      <c r="M8" s="46"/>
      <c r="N8" s="50"/>
      <c r="O8" s="50"/>
      <c r="P8" s="50"/>
    </row>
    <row r="9" spans="1:16" x14ac:dyDescent="0.2">
      <c r="A9" s="87" t="s">
        <v>10</v>
      </c>
      <c r="B9" s="40">
        <v>9317.5529128351536</v>
      </c>
      <c r="C9" s="88">
        <v>8779.7490068291663</v>
      </c>
      <c r="D9" s="89">
        <v>95.43467530327051</v>
      </c>
      <c r="E9" s="89">
        <v>837.8924957109532</v>
      </c>
      <c r="F9" s="111">
        <v>22.803518825140245</v>
      </c>
      <c r="G9" s="74"/>
      <c r="H9" s="16"/>
      <c r="I9" s="16"/>
      <c r="J9" s="16"/>
      <c r="K9" s="46"/>
      <c r="L9" s="46"/>
      <c r="M9" s="46"/>
      <c r="N9" s="50"/>
      <c r="O9" s="50"/>
      <c r="P9" s="50"/>
    </row>
    <row r="10" spans="1:16" x14ac:dyDescent="0.2">
      <c r="A10" s="87" t="s">
        <v>11</v>
      </c>
      <c r="B10" s="40">
        <v>75805.498373491209</v>
      </c>
      <c r="C10" s="88">
        <v>71430.047704911209</v>
      </c>
      <c r="D10" s="89">
        <v>93.99211116241564</v>
      </c>
      <c r="E10" s="89">
        <v>6713.8609842166661</v>
      </c>
      <c r="F10" s="111">
        <v>182.71992663337323</v>
      </c>
      <c r="G10" s="74"/>
      <c r="H10" s="16"/>
      <c r="I10" s="16"/>
      <c r="J10" s="16"/>
      <c r="K10" s="46"/>
      <c r="L10" s="46"/>
      <c r="M10" s="46"/>
      <c r="N10" s="50"/>
      <c r="O10" s="50"/>
      <c r="P10" s="50"/>
    </row>
    <row r="11" spans="1:16" x14ac:dyDescent="0.2">
      <c r="A11" s="87" t="s">
        <v>12</v>
      </c>
      <c r="B11" s="40">
        <v>69634.132158496475</v>
      </c>
      <c r="C11" s="88">
        <v>65614.889271816544</v>
      </c>
      <c r="D11" s="89">
        <v>99.358333667313431</v>
      </c>
      <c r="E11" s="89">
        <v>6519.3860618129729</v>
      </c>
      <c r="F11" s="111">
        <v>177.42722789606393</v>
      </c>
      <c r="G11" s="74"/>
      <c r="H11" s="16"/>
      <c r="I11" s="16"/>
      <c r="J11" s="16"/>
      <c r="K11" s="46"/>
      <c r="L11" s="46"/>
      <c r="M11" s="46"/>
      <c r="N11" s="50"/>
      <c r="O11" s="50"/>
      <c r="P11" s="50"/>
    </row>
    <row r="12" spans="1:16" x14ac:dyDescent="0.2">
      <c r="A12" s="87" t="s">
        <v>13</v>
      </c>
      <c r="B12" s="40">
        <v>31076.844130766571</v>
      </c>
      <c r="C12" s="88">
        <v>29283.106191608465</v>
      </c>
      <c r="D12" s="89">
        <v>87.60850852407394</v>
      </c>
      <c r="E12" s="89">
        <v>2565.4492583988927</v>
      </c>
      <c r="F12" s="111">
        <v>69.819542194613888</v>
      </c>
      <c r="G12" s="74"/>
      <c r="H12" s="16"/>
      <c r="I12" s="16"/>
      <c r="J12" s="16"/>
      <c r="K12" s="46"/>
      <c r="L12" s="46"/>
      <c r="M12" s="46"/>
      <c r="N12" s="50"/>
      <c r="O12" s="50"/>
      <c r="P12" s="50"/>
    </row>
    <row r="13" spans="1:16" x14ac:dyDescent="0.2">
      <c r="A13" s="87" t="s">
        <v>14</v>
      </c>
      <c r="B13" s="40">
        <v>31626.876770249226</v>
      </c>
      <c r="C13" s="88">
        <v>29801.391256946728</v>
      </c>
      <c r="D13" s="89">
        <v>98.299796444582498</v>
      </c>
      <c r="E13" s="89">
        <v>2929.4706943232241</v>
      </c>
      <c r="F13" s="111">
        <v>79.726504853124979</v>
      </c>
      <c r="G13" s="74"/>
      <c r="H13" s="16"/>
      <c r="I13" s="16"/>
      <c r="J13" s="16"/>
      <c r="K13" s="46"/>
      <c r="L13" s="46"/>
      <c r="M13" s="46"/>
      <c r="N13" s="50"/>
      <c r="O13" s="50"/>
      <c r="P13" s="50"/>
    </row>
    <row r="14" spans="1:16" s="17" customFormat="1" ht="15" x14ac:dyDescent="0.25">
      <c r="A14" s="91" t="s">
        <v>15</v>
      </c>
      <c r="B14" s="92">
        <v>434159.0967649282</v>
      </c>
      <c r="C14" s="93">
        <v>409099.67824028869</v>
      </c>
      <c r="D14" s="94">
        <v>95.933921969894939</v>
      </c>
      <c r="E14" s="94">
        <v>39246.536610212977</v>
      </c>
      <c r="F14" s="112">
        <v>1068.1073538594867</v>
      </c>
      <c r="G14" s="74"/>
      <c r="H14" s="16"/>
      <c r="I14" s="16"/>
      <c r="J14" s="16"/>
      <c r="K14" s="47"/>
      <c r="L14" s="46"/>
      <c r="M14" s="47"/>
      <c r="N14" s="50"/>
      <c r="O14" s="50"/>
      <c r="P14" s="50"/>
    </row>
    <row r="15" spans="1:16" x14ac:dyDescent="0.2">
      <c r="A15" s="87" t="s">
        <v>16</v>
      </c>
      <c r="B15" s="40">
        <v>53387.952369316459</v>
      </c>
      <c r="C15" s="88">
        <v>48873.60831688709</v>
      </c>
      <c r="D15" s="89">
        <v>97.722628465795637</v>
      </c>
      <c r="E15" s="89">
        <v>4776.057467333977</v>
      </c>
      <c r="F15" s="111">
        <v>129.98196895640041</v>
      </c>
      <c r="G15" s="74"/>
      <c r="H15" s="16"/>
      <c r="I15" s="16"/>
      <c r="J15" s="16"/>
      <c r="K15" s="46"/>
      <c r="L15" s="46"/>
      <c r="M15" s="46"/>
      <c r="N15" s="50"/>
      <c r="O15" s="50"/>
      <c r="P15" s="50"/>
    </row>
    <row r="16" spans="1:16" x14ac:dyDescent="0.2">
      <c r="A16" s="87" t="s">
        <v>17</v>
      </c>
      <c r="B16" s="40">
        <v>21786.764893669893</v>
      </c>
      <c r="C16" s="88">
        <v>19944.533675678063</v>
      </c>
      <c r="D16" s="89">
        <v>98.724948883799897</v>
      </c>
      <c r="E16" s="89">
        <v>1969.0230676425426</v>
      </c>
      <c r="F16" s="111">
        <v>53.587607980691885</v>
      </c>
      <c r="G16" s="74"/>
      <c r="H16" s="16"/>
      <c r="I16" s="16"/>
      <c r="J16" s="16"/>
      <c r="K16" s="46"/>
      <c r="L16" s="46"/>
      <c r="M16" s="46"/>
      <c r="N16" s="50"/>
      <c r="O16" s="50"/>
      <c r="P16" s="50"/>
    </row>
    <row r="17" spans="1:16" x14ac:dyDescent="0.2">
      <c r="A17" s="87" t="s">
        <v>18</v>
      </c>
      <c r="B17" s="40">
        <v>31988.908080441408</v>
      </c>
      <c r="C17" s="88">
        <v>29284.010617101976</v>
      </c>
      <c r="D17" s="89">
        <v>93.021221692030267</v>
      </c>
      <c r="E17" s="89">
        <v>2724.034443645211</v>
      </c>
      <c r="F17" s="111">
        <v>74.135489975103724</v>
      </c>
      <c r="G17" s="74"/>
      <c r="H17" s="16"/>
      <c r="I17" s="16"/>
      <c r="J17" s="16"/>
      <c r="K17" s="46"/>
      <c r="L17" s="46"/>
      <c r="M17" s="46"/>
      <c r="N17" s="50"/>
      <c r="O17" s="50"/>
      <c r="P17" s="50"/>
    </row>
    <row r="18" spans="1:16" x14ac:dyDescent="0.2">
      <c r="A18" s="87" t="s">
        <v>19</v>
      </c>
      <c r="B18" s="40">
        <v>11655.116362315553</v>
      </c>
      <c r="C18" s="88">
        <v>10669.590548052804</v>
      </c>
      <c r="D18" s="89">
        <v>91.78003269442344</v>
      </c>
      <c r="E18" s="89">
        <v>979.25536933639773</v>
      </c>
      <c r="F18" s="111">
        <v>26.650755751589312</v>
      </c>
      <c r="G18" s="74"/>
      <c r="H18" s="16"/>
      <c r="I18" s="16"/>
      <c r="J18" s="16"/>
      <c r="K18" s="46"/>
      <c r="L18" s="46"/>
      <c r="M18" s="46"/>
      <c r="N18" s="50"/>
      <c r="O18" s="50"/>
      <c r="P18" s="50"/>
    </row>
    <row r="19" spans="1:16" x14ac:dyDescent="0.2">
      <c r="A19" s="87" t="s">
        <v>20</v>
      </c>
      <c r="B19" s="40">
        <v>82980.042165571969</v>
      </c>
      <c r="C19" s="88">
        <v>75963.469264833009</v>
      </c>
      <c r="D19" s="89">
        <v>100.83009017948392</v>
      </c>
      <c r="E19" s="89">
        <v>7659.4034563195664</v>
      </c>
      <c r="F19" s="111">
        <v>208.45317483996209</v>
      </c>
      <c r="G19" s="74"/>
      <c r="H19" s="16"/>
      <c r="I19" s="16"/>
      <c r="J19" s="16"/>
      <c r="K19" s="46"/>
      <c r="L19" s="46"/>
      <c r="M19" s="46"/>
      <c r="N19" s="50"/>
      <c r="O19" s="50"/>
      <c r="P19" s="50"/>
    </row>
    <row r="20" spans="1:16" x14ac:dyDescent="0.2">
      <c r="A20" s="87" t="s">
        <v>21</v>
      </c>
      <c r="B20" s="40">
        <v>13832.617940758983</v>
      </c>
      <c r="C20" s="88">
        <v>12662.968352057354</v>
      </c>
      <c r="D20" s="89">
        <v>92.633186710682722</v>
      </c>
      <c r="E20" s="89">
        <v>1173.0111116675953</v>
      </c>
      <c r="F20" s="111">
        <v>31.923881767570087</v>
      </c>
      <c r="G20" s="74"/>
      <c r="H20" s="16"/>
      <c r="I20" s="16"/>
      <c r="J20" s="16"/>
      <c r="K20" s="46"/>
      <c r="L20" s="46"/>
      <c r="M20" s="46"/>
      <c r="N20" s="50"/>
      <c r="O20" s="50"/>
      <c r="P20" s="50"/>
    </row>
    <row r="21" spans="1:16" x14ac:dyDescent="0.2">
      <c r="A21" s="87" t="s">
        <v>22</v>
      </c>
      <c r="B21" s="40">
        <v>62865.567153188684</v>
      </c>
      <c r="C21" s="88">
        <v>57549.821060935436</v>
      </c>
      <c r="D21" s="89">
        <v>102.7565045839106</v>
      </c>
      <c r="E21" s="89">
        <v>5913.6184516512467</v>
      </c>
      <c r="F21" s="111">
        <v>160.94106389209793</v>
      </c>
      <c r="G21" s="74"/>
      <c r="H21" s="16"/>
      <c r="I21" s="16"/>
      <c r="J21" s="16"/>
      <c r="K21" s="46"/>
      <c r="L21" s="46"/>
      <c r="M21" s="46"/>
      <c r="N21" s="50"/>
      <c r="O21" s="50"/>
      <c r="P21" s="50"/>
    </row>
    <row r="22" spans="1:16" x14ac:dyDescent="0.2">
      <c r="A22" s="87" t="s">
        <v>23</v>
      </c>
      <c r="B22" s="40">
        <v>69711.381468150852</v>
      </c>
      <c r="C22" s="88">
        <v>63816.771423165315</v>
      </c>
      <c r="D22" s="89">
        <v>91.902487020982704</v>
      </c>
      <c r="E22" s="89">
        <v>5864.9200074384707</v>
      </c>
      <c r="F22" s="111">
        <v>159.61571977570409</v>
      </c>
      <c r="G22" s="74"/>
      <c r="H22" s="16"/>
      <c r="I22" s="16"/>
      <c r="J22" s="16"/>
      <c r="K22" s="46"/>
      <c r="L22" s="46"/>
      <c r="M22" s="46"/>
      <c r="N22" s="50"/>
      <c r="O22" s="50"/>
      <c r="P22" s="50"/>
    </row>
    <row r="23" spans="1:16" x14ac:dyDescent="0.2">
      <c r="A23" s="87" t="s">
        <v>24</v>
      </c>
      <c r="B23" s="40">
        <v>24516.474606214852</v>
      </c>
      <c r="C23" s="88">
        <v>22443.426354439041</v>
      </c>
      <c r="D23" s="89">
        <v>100.18064992171415</v>
      </c>
      <c r="E23" s="89">
        <v>2248.3970386578308</v>
      </c>
      <c r="F23" s="111">
        <v>61.190862145053089</v>
      </c>
      <c r="G23" s="74"/>
      <c r="H23" s="16"/>
      <c r="I23" s="16"/>
      <c r="J23" s="16"/>
      <c r="K23" s="46"/>
      <c r="L23" s="46"/>
      <c r="M23" s="46"/>
      <c r="N23" s="50"/>
      <c r="O23" s="50"/>
      <c r="P23" s="50"/>
    </row>
    <row r="24" spans="1:16" x14ac:dyDescent="0.2">
      <c r="A24" s="87" t="s">
        <v>25</v>
      </c>
      <c r="B24" s="40">
        <v>57558.886148169338</v>
      </c>
      <c r="C24" s="88">
        <v>52691.858966643922</v>
      </c>
      <c r="D24" s="89">
        <v>100.91917587353952</v>
      </c>
      <c r="E24" s="89">
        <v>5317.6189821584785</v>
      </c>
      <c r="F24" s="111">
        <v>144.72074303718915</v>
      </c>
      <c r="G24" s="74"/>
      <c r="H24" s="16"/>
      <c r="I24" s="16"/>
      <c r="J24" s="16"/>
      <c r="K24" s="46"/>
      <c r="L24" s="46"/>
      <c r="M24" s="46"/>
      <c r="N24" s="50"/>
      <c r="O24" s="50"/>
      <c r="P24" s="50"/>
    </row>
    <row r="25" spans="1:16" s="17" customFormat="1" ht="15" x14ac:dyDescent="0.25">
      <c r="A25" s="91" t="s">
        <v>26</v>
      </c>
      <c r="B25" s="92">
        <v>430283.71118779806</v>
      </c>
      <c r="C25" s="93">
        <v>393900.05857979401</v>
      </c>
      <c r="D25" s="94">
        <v>98.058729757784022</v>
      </c>
      <c r="E25" s="94">
        <v>38625.339395851319</v>
      </c>
      <c r="F25" s="112">
        <v>1051.2012681213619</v>
      </c>
      <c r="G25" s="74"/>
      <c r="H25" s="16"/>
      <c r="I25" s="16"/>
      <c r="J25" s="16"/>
      <c r="K25" s="47"/>
      <c r="L25" s="46"/>
      <c r="M25" s="47"/>
      <c r="N25" s="50"/>
      <c r="O25" s="50"/>
      <c r="P25" s="50"/>
    </row>
    <row r="26" spans="1:16" x14ac:dyDescent="0.2">
      <c r="A26" s="87" t="s">
        <v>27</v>
      </c>
      <c r="B26" s="40">
        <v>21249.930346368772</v>
      </c>
      <c r="C26" s="88">
        <v>19909.858568816107</v>
      </c>
      <c r="D26" s="89">
        <v>84.185960956983621</v>
      </c>
      <c r="E26" s="89">
        <v>1676.1305761334186</v>
      </c>
      <c r="F26" s="111">
        <v>45.616442851442919</v>
      </c>
      <c r="G26" s="74"/>
      <c r="H26" s="16"/>
      <c r="I26" s="16"/>
      <c r="J26" s="16"/>
      <c r="K26" s="46"/>
      <c r="L26" s="46"/>
      <c r="M26" s="46"/>
      <c r="N26" s="50"/>
      <c r="O26" s="50"/>
      <c r="P26" s="50"/>
    </row>
    <row r="27" spans="1:16" x14ac:dyDescent="0.2">
      <c r="A27" s="87" t="s">
        <v>28</v>
      </c>
      <c r="B27" s="118">
        <v>0</v>
      </c>
      <c r="C27" s="118">
        <v>0</v>
      </c>
      <c r="D27" s="118">
        <v>0</v>
      </c>
      <c r="E27" s="118">
        <v>0</v>
      </c>
      <c r="F27" s="97">
        <v>0</v>
      </c>
      <c r="G27" s="74"/>
      <c r="H27" s="16"/>
      <c r="I27" s="16"/>
      <c r="J27" s="16"/>
      <c r="K27" s="46"/>
      <c r="L27" s="46"/>
      <c r="M27" s="46"/>
      <c r="N27" s="50"/>
      <c r="O27" s="50"/>
      <c r="P27" s="50"/>
    </row>
    <row r="28" spans="1:16" x14ac:dyDescent="0.2">
      <c r="A28" s="87" t="s">
        <v>29</v>
      </c>
      <c r="B28" s="40">
        <v>3595.7541932680924</v>
      </c>
      <c r="C28" s="88">
        <v>3368.9972752512467</v>
      </c>
      <c r="D28" s="89">
        <v>86.024414751861954</v>
      </c>
      <c r="E28" s="89">
        <v>289.8160189041061</v>
      </c>
      <c r="F28" s="97">
        <v>7.8874379192277955</v>
      </c>
      <c r="G28" s="74"/>
      <c r="H28" s="16"/>
      <c r="I28" s="16"/>
      <c r="J28" s="16"/>
      <c r="K28" s="46"/>
      <c r="L28" s="46"/>
      <c r="M28" s="46"/>
      <c r="N28" s="50"/>
      <c r="O28" s="50"/>
      <c r="P28" s="50"/>
    </row>
    <row r="29" spans="1:16" x14ac:dyDescent="0.2">
      <c r="A29" s="87" t="s">
        <v>30</v>
      </c>
      <c r="B29" s="40">
        <v>15416.677925913702</v>
      </c>
      <c r="C29" s="88">
        <v>14444.465092488277</v>
      </c>
      <c r="D29" s="89">
        <v>71.231019784885717</v>
      </c>
      <c r="E29" s="89">
        <v>1028.8939787851236</v>
      </c>
      <c r="F29" s="111">
        <v>28.001686772945884</v>
      </c>
      <c r="G29" s="74"/>
      <c r="H29" s="16"/>
      <c r="I29" s="16"/>
      <c r="J29" s="16"/>
      <c r="K29" s="46"/>
      <c r="L29" s="46"/>
      <c r="M29" s="46"/>
      <c r="N29" s="50"/>
      <c r="O29" s="50"/>
      <c r="P29" s="50"/>
    </row>
    <row r="30" spans="1:16" x14ac:dyDescent="0.2">
      <c r="A30" s="87" t="s">
        <v>31</v>
      </c>
      <c r="B30" s="118">
        <v>0</v>
      </c>
      <c r="C30" s="118">
        <v>0</v>
      </c>
      <c r="D30" s="118">
        <v>0</v>
      </c>
      <c r="E30" s="118">
        <v>0</v>
      </c>
      <c r="F30" s="97">
        <v>0</v>
      </c>
      <c r="G30" s="74"/>
      <c r="H30" s="16"/>
      <c r="I30" s="16"/>
      <c r="J30" s="16"/>
      <c r="K30" s="46"/>
      <c r="L30" s="46"/>
      <c r="M30" s="46"/>
      <c r="N30" s="50"/>
      <c r="O30" s="50"/>
      <c r="P30" s="50"/>
    </row>
    <row r="31" spans="1:16" x14ac:dyDescent="0.2">
      <c r="A31" s="87" t="s">
        <v>32</v>
      </c>
      <c r="B31" s="40">
        <v>16346.342682280072</v>
      </c>
      <c r="C31" s="88">
        <v>15315.502950682021</v>
      </c>
      <c r="D31" s="89">
        <v>80.287077166257433</v>
      </c>
      <c r="E31" s="89">
        <v>1229.636967241451</v>
      </c>
      <c r="F31" s="97">
        <v>33.46497298175079</v>
      </c>
      <c r="G31" s="74"/>
      <c r="H31" s="16"/>
      <c r="I31" s="16"/>
      <c r="J31" s="16"/>
      <c r="K31" s="46"/>
      <c r="L31" s="46"/>
      <c r="M31" s="46"/>
      <c r="N31" s="50"/>
      <c r="O31" s="50"/>
      <c r="P31" s="50"/>
    </row>
    <row r="32" spans="1:16" x14ac:dyDescent="0.2">
      <c r="A32" s="87" t="s">
        <v>33</v>
      </c>
      <c r="B32" s="118">
        <v>0</v>
      </c>
      <c r="C32" s="118">
        <v>0</v>
      </c>
      <c r="D32" s="118">
        <v>0</v>
      </c>
      <c r="E32" s="118">
        <v>0</v>
      </c>
      <c r="F32" s="97">
        <v>0</v>
      </c>
      <c r="G32" s="74"/>
      <c r="H32" s="16"/>
      <c r="I32" s="16"/>
      <c r="J32" s="16"/>
      <c r="K32" s="46"/>
      <c r="L32" s="46"/>
      <c r="M32" s="46"/>
      <c r="N32" s="50"/>
      <c r="O32" s="50"/>
      <c r="P32" s="50"/>
    </row>
    <row r="33" spans="1:16" x14ac:dyDescent="0.2">
      <c r="A33" s="87" t="s">
        <v>34</v>
      </c>
      <c r="B33" s="40">
        <v>6425.7167397665598</v>
      </c>
      <c r="C33" s="88">
        <v>6020.4955690072711</v>
      </c>
      <c r="D33" s="89">
        <v>66.319509694505641</v>
      </c>
      <c r="E33" s="89">
        <v>399.27631425450596</v>
      </c>
      <c r="F33" s="97">
        <v>10.8664357243225</v>
      </c>
      <c r="G33" s="74"/>
      <c r="H33" s="16"/>
      <c r="I33" s="16"/>
      <c r="J33" s="16"/>
      <c r="K33" s="46"/>
      <c r="L33" s="46"/>
      <c r="M33" s="46"/>
      <c r="N33" s="50"/>
      <c r="O33" s="50"/>
      <c r="P33" s="50"/>
    </row>
    <row r="34" spans="1:16" x14ac:dyDescent="0.2">
      <c r="A34" s="87" t="s">
        <v>35</v>
      </c>
      <c r="B34" s="40">
        <v>10251.523567660912</v>
      </c>
      <c r="C34" s="88">
        <v>9605.0378057776525</v>
      </c>
      <c r="D34" s="89">
        <v>78.068811622174906</v>
      </c>
      <c r="E34" s="89">
        <v>749.85388708312382</v>
      </c>
      <c r="F34" s="97">
        <v>20.407519243498907</v>
      </c>
      <c r="G34" s="74"/>
      <c r="H34" s="16"/>
      <c r="I34" s="16"/>
      <c r="J34" s="16"/>
      <c r="K34" s="46"/>
      <c r="L34" s="46"/>
      <c r="M34" s="46"/>
      <c r="N34" s="50"/>
      <c r="O34" s="50"/>
      <c r="P34" s="50"/>
    </row>
    <row r="35" spans="1:16" x14ac:dyDescent="0.2">
      <c r="A35" s="87" t="s">
        <v>36</v>
      </c>
      <c r="B35" s="40">
        <v>15312.681529438762</v>
      </c>
      <c r="C35" s="88">
        <v>14347.026959198753</v>
      </c>
      <c r="D35" s="89">
        <v>83.7458087259282</v>
      </c>
      <c r="E35" s="89">
        <v>1201.5033755107941</v>
      </c>
      <c r="F35" s="97">
        <v>32.699308064195357</v>
      </c>
      <c r="G35" s="74"/>
      <c r="H35" s="16"/>
      <c r="I35" s="16"/>
      <c r="J35" s="16"/>
      <c r="K35" s="46"/>
      <c r="L35" s="46"/>
      <c r="M35" s="46"/>
      <c r="N35" s="50"/>
      <c r="O35" s="50"/>
      <c r="P35" s="50"/>
    </row>
    <row r="36" spans="1:16" s="17" customFormat="1" ht="15" x14ac:dyDescent="0.25">
      <c r="A36" s="91" t="s">
        <v>37</v>
      </c>
      <c r="B36" s="92">
        <v>88598.626984696879</v>
      </c>
      <c r="C36" s="93">
        <v>83011.38422122132</v>
      </c>
      <c r="D36" s="94">
        <v>79.207342216944255</v>
      </c>
      <c r="E36" s="94">
        <v>6575.1111179125237</v>
      </c>
      <c r="F36" s="98">
        <v>178.94380355738417</v>
      </c>
      <c r="G36" s="74"/>
      <c r="H36" s="16"/>
      <c r="I36" s="16"/>
      <c r="J36" s="16"/>
      <c r="K36" s="47"/>
      <c r="L36" s="46"/>
      <c r="M36" s="47"/>
      <c r="N36" s="50"/>
      <c r="O36" s="50"/>
      <c r="P36" s="50"/>
    </row>
    <row r="37" spans="1:16" x14ac:dyDescent="0.2">
      <c r="A37" s="87" t="s">
        <v>38</v>
      </c>
      <c r="B37" s="40">
        <v>0</v>
      </c>
      <c r="C37" s="88">
        <v>0</v>
      </c>
      <c r="D37" s="89">
        <v>0</v>
      </c>
      <c r="E37" s="89">
        <v>0</v>
      </c>
      <c r="F37" s="97">
        <v>0</v>
      </c>
      <c r="G37" s="74"/>
      <c r="H37" s="16"/>
      <c r="I37" s="16"/>
      <c r="J37" s="16"/>
      <c r="K37" s="46"/>
      <c r="L37" s="46"/>
      <c r="M37" s="46"/>
      <c r="N37" s="50"/>
      <c r="O37" s="50"/>
      <c r="P37" s="50"/>
    </row>
    <row r="38" spans="1:16" x14ac:dyDescent="0.2">
      <c r="A38" s="87" t="s">
        <v>39</v>
      </c>
      <c r="B38" s="40">
        <v>3525.7217796626651</v>
      </c>
      <c r="C38" s="88">
        <v>3109.1961432662465</v>
      </c>
      <c r="D38" s="88">
        <v>86.691716708550047</v>
      </c>
      <c r="E38" s="89">
        <v>269.54155124335381</v>
      </c>
      <c r="F38" s="97">
        <v>7.3356616384540008</v>
      </c>
      <c r="G38" s="74"/>
      <c r="H38" s="16"/>
      <c r="I38" s="16"/>
      <c r="J38" s="16"/>
      <c r="K38" s="46"/>
      <c r="L38" s="46"/>
      <c r="M38" s="46"/>
      <c r="N38" s="50"/>
      <c r="O38" s="50"/>
      <c r="P38" s="50"/>
    </row>
    <row r="39" spans="1:16" x14ac:dyDescent="0.2">
      <c r="A39" s="87" t="s">
        <v>40</v>
      </c>
      <c r="B39" s="40">
        <v>2034.372946524102</v>
      </c>
      <c r="C39" s="88">
        <v>1794.0339353444724</v>
      </c>
      <c r="D39" s="89">
        <v>74.127496508788994</v>
      </c>
      <c r="E39" s="89">
        <v>132.98724427889636</v>
      </c>
      <c r="F39" s="97">
        <v>3.6192914293189733</v>
      </c>
      <c r="G39" s="74"/>
      <c r="H39" s="16"/>
      <c r="I39" s="16"/>
      <c r="J39" s="16"/>
      <c r="K39" s="46"/>
      <c r="L39" s="46"/>
      <c r="M39" s="46"/>
      <c r="N39" s="50"/>
      <c r="O39" s="50"/>
      <c r="P39" s="50"/>
    </row>
    <row r="40" spans="1:16" x14ac:dyDescent="0.2">
      <c r="A40" s="87" t="s">
        <v>41</v>
      </c>
      <c r="B40" s="40">
        <v>4017.5914475843524</v>
      </c>
      <c r="C40" s="88">
        <v>3542.9567659317372</v>
      </c>
      <c r="D40" s="89">
        <v>86.350712504844978</v>
      </c>
      <c r="E40" s="89">
        <v>305.93684111206682</v>
      </c>
      <c r="F40" s="97">
        <v>8.32617137796829</v>
      </c>
      <c r="G40" s="74"/>
      <c r="H40" s="16"/>
      <c r="I40" s="16"/>
      <c r="J40" s="16"/>
      <c r="K40" s="46"/>
      <c r="L40" s="46"/>
      <c r="M40" s="46"/>
      <c r="N40" s="50"/>
      <c r="O40" s="50"/>
      <c r="P40" s="50"/>
    </row>
    <row r="41" spans="1:16" x14ac:dyDescent="0.2">
      <c r="A41" s="87" t="s">
        <v>42</v>
      </c>
      <c r="B41" s="40">
        <v>13127.017697493975</v>
      </c>
      <c r="C41" s="88">
        <v>11576.203497696601</v>
      </c>
      <c r="D41" s="89">
        <v>89.439631900329161</v>
      </c>
      <c r="E41" s="89">
        <v>1035.371379637287</v>
      </c>
      <c r="F41" s="97">
        <v>28.177971359603934</v>
      </c>
      <c r="G41" s="74"/>
      <c r="H41" s="16"/>
      <c r="I41" s="16"/>
      <c r="J41" s="16"/>
      <c r="K41" s="46"/>
      <c r="L41" s="46"/>
      <c r="M41" s="46"/>
      <c r="N41" s="50"/>
      <c r="O41" s="50"/>
      <c r="P41" s="50"/>
    </row>
    <row r="42" spans="1:16" x14ac:dyDescent="0.2">
      <c r="A42" s="87" t="s">
        <v>43</v>
      </c>
      <c r="B42" s="40">
        <v>6626.4681662409876</v>
      </c>
      <c r="C42" s="88">
        <v>5843.6231085495047</v>
      </c>
      <c r="D42" s="89">
        <v>75.223186547279596</v>
      </c>
      <c r="E42" s="89">
        <v>439.57595120641327</v>
      </c>
      <c r="F42" s="97">
        <v>11.963203549053267</v>
      </c>
      <c r="G42" s="74"/>
      <c r="H42" s="16"/>
      <c r="I42" s="16"/>
      <c r="J42" s="16"/>
      <c r="K42" s="46"/>
      <c r="L42" s="46"/>
      <c r="M42" s="46"/>
      <c r="N42" s="50"/>
      <c r="O42" s="50"/>
      <c r="P42" s="50"/>
    </row>
    <row r="43" spans="1:16" x14ac:dyDescent="0.2">
      <c r="A43" s="87" t="s">
        <v>44</v>
      </c>
      <c r="B43" s="40">
        <v>5615.1841289939975</v>
      </c>
      <c r="C43" s="88">
        <v>4951.8112683492554</v>
      </c>
      <c r="D43" s="89">
        <v>82.186640703490184</v>
      </c>
      <c r="E43" s="89">
        <v>406.97273354331429</v>
      </c>
      <c r="F43" s="97">
        <v>11.075896297172717</v>
      </c>
      <c r="G43" s="74"/>
      <c r="H43" s="16"/>
      <c r="I43" s="16"/>
      <c r="J43" s="16"/>
      <c r="K43" s="46"/>
      <c r="L43" s="46"/>
      <c r="M43" s="46"/>
      <c r="N43" s="50"/>
      <c r="O43" s="50"/>
      <c r="P43" s="50"/>
    </row>
    <row r="44" spans="1:16" x14ac:dyDescent="0.2">
      <c r="A44" s="87" t="s">
        <v>45</v>
      </c>
      <c r="B44" s="40">
        <v>11726.172883253026</v>
      </c>
      <c r="C44" s="88">
        <v>10340.853244345299</v>
      </c>
      <c r="D44" s="89">
        <v>88.007327454986196</v>
      </c>
      <c r="E44" s="89">
        <v>910.07085763905309</v>
      </c>
      <c r="F44" s="97">
        <v>24.767876595881045</v>
      </c>
      <c r="G44" s="74"/>
      <c r="H44" s="16"/>
      <c r="I44" s="16"/>
      <c r="J44" s="16"/>
      <c r="K44" s="46"/>
      <c r="L44" s="46"/>
      <c r="M44" s="46"/>
      <c r="N44" s="50"/>
      <c r="O44" s="50"/>
      <c r="P44" s="50"/>
    </row>
    <row r="45" spans="1:16" s="17" customFormat="1" ht="15" x14ac:dyDescent="0.25">
      <c r="A45" s="91" t="s">
        <v>46</v>
      </c>
      <c r="B45" s="92">
        <v>46672.52904975311</v>
      </c>
      <c r="C45" s="93">
        <v>41158.677963483118</v>
      </c>
      <c r="D45" s="94">
        <v>85.04783758521269</v>
      </c>
      <c r="E45" s="94">
        <v>3500.4565586603844</v>
      </c>
      <c r="F45" s="98">
        <v>95.266072247452229</v>
      </c>
      <c r="G45" s="74"/>
      <c r="H45" s="16"/>
      <c r="I45" s="16"/>
      <c r="J45" s="16"/>
      <c r="K45" s="47"/>
      <c r="L45" s="46"/>
      <c r="M45" s="47"/>
      <c r="N45" s="50"/>
      <c r="O45" s="50"/>
      <c r="P45" s="50"/>
    </row>
    <row r="46" spans="1:16" x14ac:dyDescent="0.2">
      <c r="A46" s="87" t="s">
        <v>47</v>
      </c>
      <c r="B46" s="118">
        <v>0</v>
      </c>
      <c r="C46" s="118">
        <v>0</v>
      </c>
      <c r="D46" s="118"/>
      <c r="E46" s="118">
        <v>0</v>
      </c>
      <c r="F46" s="97">
        <v>0</v>
      </c>
      <c r="G46" s="74"/>
      <c r="H46" s="16"/>
      <c r="I46" s="16"/>
      <c r="J46" s="16"/>
      <c r="K46" s="46"/>
      <c r="L46" s="46"/>
      <c r="M46" s="46"/>
      <c r="N46" s="50"/>
      <c r="O46" s="50"/>
      <c r="P46" s="50"/>
    </row>
    <row r="47" spans="1:16" x14ac:dyDescent="0.2">
      <c r="A47" s="87" t="s">
        <v>48</v>
      </c>
      <c r="B47" s="40">
        <v>0</v>
      </c>
      <c r="C47" s="40">
        <v>0</v>
      </c>
      <c r="D47" s="113"/>
      <c r="E47" s="113">
        <v>0</v>
      </c>
      <c r="F47" s="97">
        <v>0</v>
      </c>
      <c r="G47" s="74"/>
      <c r="H47" s="16"/>
      <c r="I47" s="16"/>
      <c r="J47" s="16"/>
      <c r="K47" s="46"/>
      <c r="L47" s="46"/>
      <c r="M47" s="46"/>
      <c r="N47" s="50"/>
      <c r="O47" s="50"/>
      <c r="P47" s="50"/>
    </row>
    <row r="48" spans="1:16" x14ac:dyDescent="0.2">
      <c r="A48" s="99" t="s">
        <v>49</v>
      </c>
      <c r="B48" s="118">
        <v>0</v>
      </c>
      <c r="C48" s="118">
        <v>0</v>
      </c>
      <c r="D48" s="118"/>
      <c r="E48" s="118">
        <v>0</v>
      </c>
      <c r="F48" s="97">
        <v>0</v>
      </c>
      <c r="G48" s="74"/>
      <c r="H48" s="16"/>
      <c r="I48" s="16"/>
      <c r="J48" s="16"/>
      <c r="K48" s="46"/>
      <c r="L48" s="46"/>
      <c r="M48" s="46"/>
      <c r="N48" s="50"/>
      <c r="O48" s="50"/>
      <c r="P48" s="50"/>
    </row>
    <row r="49" spans="1:16" x14ac:dyDescent="0.2">
      <c r="A49" s="87" t="s">
        <v>50</v>
      </c>
      <c r="B49" s="40">
        <v>0</v>
      </c>
      <c r="C49" s="40">
        <v>0</v>
      </c>
      <c r="D49" s="40"/>
      <c r="E49" s="113">
        <v>0</v>
      </c>
      <c r="F49" s="97">
        <v>0</v>
      </c>
      <c r="G49" s="74"/>
      <c r="H49" s="16"/>
      <c r="I49" s="16"/>
      <c r="J49" s="16"/>
      <c r="K49" s="46"/>
      <c r="L49" s="46"/>
      <c r="M49" s="46"/>
      <c r="N49" s="50"/>
      <c r="O49" s="50"/>
      <c r="P49" s="50"/>
    </row>
    <row r="50" spans="1:16" x14ac:dyDescent="0.2">
      <c r="A50" s="87" t="s">
        <v>51</v>
      </c>
      <c r="B50" s="40">
        <v>0</v>
      </c>
      <c r="C50" s="40">
        <v>0</v>
      </c>
      <c r="D50" s="113">
        <v>0</v>
      </c>
      <c r="E50" s="113">
        <v>0</v>
      </c>
      <c r="F50" s="97">
        <v>0</v>
      </c>
      <c r="G50" s="74"/>
      <c r="H50" s="16"/>
      <c r="I50" s="16"/>
      <c r="J50" s="16"/>
      <c r="K50" s="46"/>
      <c r="L50" s="46"/>
      <c r="M50" s="46"/>
      <c r="N50" s="50"/>
      <c r="O50" s="50"/>
      <c r="P50" s="50"/>
    </row>
    <row r="51" spans="1:16" x14ac:dyDescent="0.2">
      <c r="A51" s="87" t="s">
        <v>52</v>
      </c>
      <c r="B51" s="40">
        <v>0</v>
      </c>
      <c r="C51" s="88">
        <v>0</v>
      </c>
      <c r="D51" s="89"/>
      <c r="E51" s="89">
        <v>0</v>
      </c>
      <c r="F51" s="97">
        <v>0</v>
      </c>
      <c r="G51" s="74"/>
      <c r="H51" s="16"/>
      <c r="I51" s="16"/>
      <c r="J51" s="16"/>
      <c r="K51" s="46"/>
      <c r="L51" s="46"/>
      <c r="M51" s="46"/>
      <c r="N51" s="50"/>
      <c r="O51" s="50"/>
      <c r="P51" s="50"/>
    </row>
    <row r="52" spans="1:16" x14ac:dyDescent="0.2">
      <c r="A52" s="87" t="s">
        <v>53</v>
      </c>
      <c r="B52" s="118">
        <v>0</v>
      </c>
      <c r="C52" s="118">
        <v>0</v>
      </c>
      <c r="D52" s="118"/>
      <c r="E52" s="118">
        <v>0</v>
      </c>
      <c r="F52" s="97">
        <v>0</v>
      </c>
      <c r="G52" s="74"/>
      <c r="H52" s="16"/>
      <c r="I52" s="16"/>
      <c r="J52" s="16"/>
      <c r="K52" s="46"/>
      <c r="L52" s="46"/>
      <c r="M52" s="46"/>
      <c r="N52" s="50"/>
      <c r="O52" s="50"/>
      <c r="P52" s="50"/>
    </row>
    <row r="53" spans="1:16" x14ac:dyDescent="0.2">
      <c r="A53" s="87" t="s">
        <v>54</v>
      </c>
      <c r="B53" s="40">
        <v>0</v>
      </c>
      <c r="C53" s="40">
        <v>0</v>
      </c>
      <c r="D53" s="40"/>
      <c r="E53" s="113">
        <v>0</v>
      </c>
      <c r="F53" s="97">
        <v>0</v>
      </c>
      <c r="G53" s="74"/>
      <c r="H53" s="16"/>
      <c r="I53" s="16"/>
      <c r="J53" s="16"/>
      <c r="K53" s="46"/>
      <c r="L53" s="46"/>
      <c r="M53" s="46"/>
      <c r="N53" s="50"/>
      <c r="O53" s="50"/>
      <c r="P53" s="50"/>
    </row>
    <row r="54" spans="1:16" x14ac:dyDescent="0.2">
      <c r="A54" s="87" t="s">
        <v>55</v>
      </c>
      <c r="B54" s="118">
        <v>0</v>
      </c>
      <c r="C54" s="118">
        <v>0</v>
      </c>
      <c r="D54" s="118">
        <v>0</v>
      </c>
      <c r="E54" s="118">
        <v>0</v>
      </c>
      <c r="F54" s="97">
        <v>0</v>
      </c>
      <c r="G54" s="74"/>
      <c r="H54" s="16"/>
      <c r="I54" s="16"/>
      <c r="J54" s="16"/>
      <c r="K54" s="46"/>
      <c r="L54" s="46"/>
      <c r="M54" s="46"/>
      <c r="N54" s="50"/>
      <c r="O54" s="50"/>
      <c r="P54" s="50"/>
    </row>
    <row r="55" spans="1:16" x14ac:dyDescent="0.2">
      <c r="A55" s="87" t="s">
        <v>56</v>
      </c>
      <c r="B55" s="40">
        <v>9186.036012823708</v>
      </c>
      <c r="C55" s="88">
        <v>4930.2009952127655</v>
      </c>
      <c r="D55" s="89">
        <v>84.30433532540394</v>
      </c>
      <c r="E55" s="89">
        <v>415.63731792205715</v>
      </c>
      <c r="F55" s="97">
        <v>11.311705800186619</v>
      </c>
      <c r="G55" s="74"/>
      <c r="H55" s="16"/>
      <c r="I55" s="16"/>
      <c r="J55" s="16"/>
      <c r="K55" s="46"/>
      <c r="L55" s="46"/>
      <c r="M55" s="46"/>
      <c r="N55" s="50"/>
      <c r="O55" s="50"/>
      <c r="P55" s="50"/>
    </row>
    <row r="56" spans="1:16" s="17" customFormat="1" ht="15" x14ac:dyDescent="0.25">
      <c r="A56" s="91" t="s">
        <v>57</v>
      </c>
      <c r="B56" s="92">
        <v>9186.036012823708</v>
      </c>
      <c r="C56" s="93">
        <v>4930.2009952127655</v>
      </c>
      <c r="D56" s="94">
        <v>84.30433532540394</v>
      </c>
      <c r="E56" s="94">
        <v>415.63731792205715</v>
      </c>
      <c r="F56" s="112">
        <v>11.311705800186619</v>
      </c>
      <c r="G56" s="74"/>
      <c r="H56" s="16"/>
      <c r="I56" s="16"/>
      <c r="J56" s="16"/>
      <c r="K56" s="47"/>
      <c r="L56" s="46"/>
      <c r="M56" s="47"/>
      <c r="N56" s="50"/>
      <c r="O56" s="50"/>
      <c r="P56" s="50"/>
    </row>
    <row r="57" spans="1:16" s="17" customFormat="1" ht="15" x14ac:dyDescent="0.25">
      <c r="A57" s="100" t="s">
        <v>0</v>
      </c>
      <c r="B57" s="101">
        <v>1008900</v>
      </c>
      <c r="C57" s="102">
        <v>932100</v>
      </c>
      <c r="D57" s="103">
        <v>94.8</v>
      </c>
      <c r="E57" s="103">
        <v>88363.08</v>
      </c>
      <c r="F57" s="114">
        <v>2404.8301763553236</v>
      </c>
      <c r="G57" s="74"/>
      <c r="H57" s="16"/>
      <c r="I57" s="115"/>
      <c r="J57" s="115"/>
      <c r="K57" s="116"/>
      <c r="L57" s="46"/>
      <c r="M57" s="47"/>
      <c r="N57" s="50"/>
      <c r="O57" s="50"/>
      <c r="P57" s="50"/>
    </row>
    <row r="58" spans="1:16" s="22" customFormat="1" x14ac:dyDescent="0.2">
      <c r="A58" s="1" t="s">
        <v>155</v>
      </c>
      <c r="B58" s="20">
        <v>1107701.000021667</v>
      </c>
      <c r="C58" s="16">
        <v>1045498.9999904351</v>
      </c>
      <c r="D58" s="20">
        <v>93.700090579725597</v>
      </c>
      <c r="E58" s="15">
        <v>97963.351000116309</v>
      </c>
      <c r="F58" s="21">
        <v>2666.1046973687216</v>
      </c>
      <c r="G58" s="20"/>
      <c r="H58" s="117"/>
      <c r="I58" s="117"/>
      <c r="J58" s="117"/>
      <c r="K58" s="117"/>
      <c r="L58" s="40"/>
      <c r="M58" s="40"/>
      <c r="N58" s="40"/>
    </row>
    <row r="59" spans="1:16" ht="171" x14ac:dyDescent="0.2">
      <c r="A59" s="105" t="s">
        <v>58</v>
      </c>
      <c r="B59" s="119"/>
      <c r="C59" s="119"/>
      <c r="D59" s="119"/>
      <c r="E59" s="119"/>
      <c r="F59" s="119"/>
      <c r="G59" s="3"/>
      <c r="H59" s="3"/>
      <c r="I59" s="3"/>
      <c r="J59" s="3"/>
    </row>
    <row r="60" spans="1:16" ht="15" x14ac:dyDescent="0.2">
      <c r="A60"/>
      <c r="B60" s="6"/>
      <c r="C60" s="6"/>
      <c r="D60" s="8"/>
      <c r="E60" s="12"/>
      <c r="F60" s="14"/>
      <c r="G60" s="3"/>
      <c r="H60" s="3"/>
      <c r="I60" s="3"/>
      <c r="J60" s="3"/>
    </row>
    <row r="61" spans="1:16" ht="15" x14ac:dyDescent="0.25">
      <c r="A61" s="17" t="s">
        <v>60</v>
      </c>
      <c r="B61" s="6"/>
      <c r="C61" s="6"/>
      <c r="D61" s="8"/>
      <c r="E61" s="6"/>
      <c r="F61" s="7"/>
      <c r="G61" s="3"/>
      <c r="H61" s="3"/>
      <c r="I61" s="3"/>
      <c r="J61" s="3"/>
    </row>
    <row r="62" spans="1:16" x14ac:dyDescent="0.2">
      <c r="A62" s="41" t="s">
        <v>162</v>
      </c>
      <c r="B62" s="6"/>
      <c r="C62" s="6"/>
      <c r="D62" s="8"/>
      <c r="E62" s="6"/>
      <c r="F62" s="7"/>
      <c r="G62" s="3"/>
      <c r="H62" s="3"/>
      <c r="I62" s="3"/>
      <c r="J62" s="3"/>
    </row>
    <row r="63" spans="1:16" x14ac:dyDescent="0.2">
      <c r="A63" s="3"/>
      <c r="B63" s="6"/>
      <c r="C63" s="6"/>
      <c r="D63" s="8"/>
      <c r="E63" s="6"/>
      <c r="F63" s="7"/>
      <c r="G63" s="3"/>
      <c r="H63" s="3"/>
      <c r="I63" s="3"/>
      <c r="J63" s="3"/>
    </row>
    <row r="64" spans="1:16" x14ac:dyDescent="0.2">
      <c r="A64" s="3"/>
      <c r="B64" s="6"/>
      <c r="C64" s="6"/>
      <c r="D64" s="8"/>
      <c r="E64" s="6"/>
      <c r="F64" s="7"/>
      <c r="G64" s="3"/>
      <c r="H64" s="3"/>
      <c r="I64" s="3"/>
      <c r="J64" s="3"/>
    </row>
    <row r="65" spans="1:10" x14ac:dyDescent="0.2">
      <c r="A65" s="3"/>
      <c r="B65" s="6"/>
      <c r="C65" s="6"/>
      <c r="D65" s="8"/>
      <c r="E65" s="6"/>
      <c r="F65" s="7"/>
      <c r="G65" s="3"/>
      <c r="H65" s="3"/>
      <c r="I65" s="3"/>
      <c r="J65" s="3"/>
    </row>
    <row r="66" spans="1:10" x14ac:dyDescent="0.2">
      <c r="A66" s="3"/>
      <c r="B66" s="6"/>
      <c r="C66" s="6"/>
      <c r="D66" s="8"/>
      <c r="E66" s="6"/>
      <c r="F66" s="7"/>
      <c r="G66" s="3"/>
      <c r="H66" s="3"/>
      <c r="I66" s="3"/>
      <c r="J66" s="3"/>
    </row>
    <row r="67" spans="1:10" x14ac:dyDescent="0.2">
      <c r="A67" s="3"/>
      <c r="B67" s="6"/>
      <c r="C67" s="6"/>
      <c r="D67" s="8"/>
      <c r="E67" s="6"/>
      <c r="F67" s="7"/>
      <c r="G67" s="3"/>
      <c r="H67" s="3"/>
      <c r="I67" s="3"/>
      <c r="J67" s="3"/>
    </row>
    <row r="68" spans="1:10" x14ac:dyDescent="0.2">
      <c r="A68" s="3"/>
      <c r="B68" s="6"/>
      <c r="C68" s="6"/>
      <c r="D68" s="8"/>
      <c r="E68" s="6"/>
      <c r="F68" s="7"/>
      <c r="G68" s="3"/>
      <c r="H68" s="3"/>
      <c r="I68" s="3"/>
      <c r="J68" s="3"/>
    </row>
    <row r="69" spans="1:10" x14ac:dyDescent="0.2">
      <c r="A69" s="3"/>
      <c r="B69" s="6"/>
      <c r="C69" s="6"/>
      <c r="D69" s="8"/>
      <c r="E69" s="6"/>
      <c r="F69" s="7"/>
      <c r="G69" s="3"/>
      <c r="H69" s="3"/>
      <c r="I69" s="3"/>
      <c r="J69" s="3"/>
    </row>
    <row r="70" spans="1:10" x14ac:dyDescent="0.2">
      <c r="A70" s="3"/>
      <c r="B70" s="3"/>
      <c r="C70" s="3"/>
      <c r="D70" s="3"/>
      <c r="E70" s="6"/>
      <c r="F70" s="7"/>
      <c r="G70" s="3"/>
      <c r="H70" s="3"/>
      <c r="I70" s="3"/>
      <c r="J70" s="3"/>
    </row>
    <row r="71" spans="1:10" x14ac:dyDescent="0.2">
      <c r="A71" s="3"/>
      <c r="B71" s="3"/>
      <c r="C71" s="3"/>
      <c r="D71" s="3"/>
      <c r="E71" s="6"/>
      <c r="F71" s="7"/>
      <c r="G71" s="3"/>
      <c r="H71" s="3"/>
      <c r="I71" s="3"/>
      <c r="J71" s="3"/>
    </row>
    <row r="72" spans="1:10" x14ac:dyDescent="0.2">
      <c r="A72" s="3"/>
      <c r="B72" s="3"/>
      <c r="C72" s="3"/>
      <c r="D72" s="3"/>
      <c r="E72" s="6"/>
      <c r="F72" s="7"/>
      <c r="G72" s="3"/>
      <c r="H72" s="3"/>
      <c r="I72" s="3"/>
      <c r="J72" s="3"/>
    </row>
    <row r="73" spans="1:10" x14ac:dyDescent="0.2">
      <c r="A73" s="3"/>
      <c r="B73" s="3"/>
      <c r="C73" s="3"/>
      <c r="D73" s="3"/>
      <c r="E73" s="6"/>
      <c r="F73" s="7"/>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E80" s="3"/>
      <c r="F80" s="3"/>
      <c r="G80" s="3"/>
      <c r="H80" s="3"/>
      <c r="I80" s="3"/>
      <c r="J80" s="3"/>
    </row>
    <row r="81" spans="1:10" x14ac:dyDescent="0.2">
      <c r="A81" s="3"/>
      <c r="E81" s="3"/>
      <c r="F81" s="3"/>
      <c r="G81" s="3"/>
      <c r="H81" s="3"/>
      <c r="I81" s="3"/>
      <c r="J81" s="3"/>
    </row>
    <row r="82" spans="1:10" x14ac:dyDescent="0.2">
      <c r="A82" s="3"/>
      <c r="E82" s="3"/>
      <c r="F82" s="3"/>
      <c r="G82" s="3"/>
      <c r="H82" s="3"/>
      <c r="I82" s="3"/>
      <c r="J82" s="3"/>
    </row>
    <row r="83" spans="1:10" x14ac:dyDescent="0.2">
      <c r="A83" s="3"/>
      <c r="E83" s="3"/>
      <c r="F83" s="3"/>
      <c r="G83" s="3"/>
      <c r="H83" s="3"/>
      <c r="I83" s="3"/>
      <c r="J8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FC91-5D95-4012-B352-E1B17B178382}">
  <dimension ref="A1:P83"/>
  <sheetViews>
    <sheetView workbookViewId="0">
      <pane xSplit="1" ySplit="3" topLeftCell="B4" activePane="bottomRight" state="frozen"/>
      <selection pane="topRight" activeCell="B1" sqref="B1"/>
      <selection pane="bottomLeft" activeCell="A4" sqref="A4"/>
      <selection pane="bottomRight" sqref="A1:XFD1048576"/>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7" width="9.77734375" style="1"/>
    <col min="8" max="9" width="11.21875" style="1" bestFit="1" customWidth="1"/>
    <col min="10" max="10" width="9.88671875" style="1" bestFit="1" customWidth="1"/>
    <col min="11" max="11" width="10.33203125" style="1" bestFit="1" customWidth="1"/>
    <col min="12" max="12" width="10.21875" style="1" bestFit="1" customWidth="1"/>
    <col min="13" max="13" width="9.88671875" style="1" bestFit="1" customWidth="1"/>
    <col min="14" max="14" width="12.44140625" style="1" bestFit="1" customWidth="1"/>
    <col min="15" max="16384" width="9.77734375" style="1"/>
  </cols>
  <sheetData>
    <row r="1" spans="1:16" ht="18" x14ac:dyDescent="0.25">
      <c r="A1" s="106" t="s">
        <v>163</v>
      </c>
    </row>
    <row r="2" spans="1:16" ht="15" x14ac:dyDescent="0.25">
      <c r="A2" s="80" t="s">
        <v>161</v>
      </c>
      <c r="B2" s="81"/>
      <c r="C2" s="81"/>
      <c r="D2" s="81"/>
      <c r="E2" s="81"/>
      <c r="F2" s="81"/>
      <c r="G2" s="3"/>
      <c r="H2" s="3"/>
      <c r="I2" s="3"/>
      <c r="J2" s="3"/>
    </row>
    <row r="3" spans="1:16" ht="47.25" customHeight="1" thickBot="1" x14ac:dyDescent="0.3">
      <c r="A3" s="82"/>
      <c r="B3" s="83" t="s">
        <v>59</v>
      </c>
      <c r="C3" s="84" t="s">
        <v>2</v>
      </c>
      <c r="D3" s="85" t="s">
        <v>3</v>
      </c>
      <c r="E3" s="84" t="s">
        <v>4</v>
      </c>
      <c r="F3" s="86" t="s">
        <v>1</v>
      </c>
      <c r="G3" s="3"/>
      <c r="H3" s="3"/>
      <c r="I3" s="3"/>
      <c r="J3" s="3"/>
    </row>
    <row r="4" spans="1:16" x14ac:dyDescent="0.2">
      <c r="A4" s="87" t="s">
        <v>5</v>
      </c>
      <c r="B4" s="40">
        <v>8232.4066086727726</v>
      </c>
      <c r="C4" s="88">
        <v>7737.6878609128944</v>
      </c>
      <c r="D4" s="89">
        <v>89.723929895187098</v>
      </c>
      <c r="E4" s="89">
        <v>694.25576318338881</v>
      </c>
      <c r="F4" s="111">
        <v>18.894398083588854</v>
      </c>
      <c r="G4" s="74"/>
      <c r="H4" s="16"/>
      <c r="I4" s="16"/>
      <c r="J4" s="16"/>
      <c r="K4" s="46"/>
      <c r="L4" s="46"/>
      <c r="M4" s="46"/>
      <c r="N4" s="50"/>
      <c r="O4" s="50"/>
      <c r="P4" s="50"/>
    </row>
    <row r="5" spans="1:16" x14ac:dyDescent="0.2">
      <c r="A5" s="87" t="s">
        <v>6</v>
      </c>
      <c r="B5" s="40">
        <v>78774.3399169802</v>
      </c>
      <c r="C5" s="88">
        <v>74040.469901584744</v>
      </c>
      <c r="D5" s="89">
        <v>99.395326270545795</v>
      </c>
      <c r="E5" s="89">
        <v>7359.2766630925416</v>
      </c>
      <c r="F5" s="111">
        <v>200.28512581897837</v>
      </c>
      <c r="G5" s="74"/>
      <c r="H5" s="16"/>
      <c r="I5" s="16"/>
      <c r="J5" s="16"/>
      <c r="K5" s="46"/>
      <c r="L5" s="46"/>
      <c r="M5" s="46"/>
      <c r="N5" s="50"/>
      <c r="O5" s="50"/>
      <c r="P5" s="50"/>
    </row>
    <row r="6" spans="1:16" x14ac:dyDescent="0.2">
      <c r="A6" s="87" t="s">
        <v>7</v>
      </c>
      <c r="B6" s="40">
        <v>42978.309600218046</v>
      </c>
      <c r="C6" s="88">
        <v>40395.568426591279</v>
      </c>
      <c r="D6" s="89">
        <v>95.901876510128972</v>
      </c>
      <c r="E6" s="89">
        <v>3874.0108148034219</v>
      </c>
      <c r="F6" s="111">
        <v>105.43247373185886</v>
      </c>
      <c r="G6" s="74"/>
      <c r="H6" s="16"/>
      <c r="I6" s="16"/>
      <c r="J6" s="16"/>
      <c r="K6" s="46"/>
      <c r="L6" s="46"/>
      <c r="M6" s="46"/>
      <c r="N6" s="50"/>
      <c r="O6" s="50"/>
      <c r="P6" s="50"/>
    </row>
    <row r="7" spans="1:16" x14ac:dyDescent="0.2">
      <c r="A7" s="87" t="s">
        <v>8</v>
      </c>
      <c r="B7" s="40">
        <v>50089.594360278839</v>
      </c>
      <c r="C7" s="88">
        <v>47079.507204038084</v>
      </c>
      <c r="D7" s="89">
        <v>93.265609304243696</v>
      </c>
      <c r="E7" s="89">
        <v>4390.8989251281428</v>
      </c>
      <c r="F7" s="111">
        <v>119.49975302438882</v>
      </c>
      <c r="G7" s="74"/>
      <c r="H7" s="16"/>
      <c r="I7" s="16"/>
      <c r="J7" s="16"/>
      <c r="K7" s="46"/>
      <c r="L7" s="46"/>
      <c r="M7" s="46"/>
      <c r="N7" s="50"/>
      <c r="O7" s="50"/>
      <c r="P7" s="50"/>
    </row>
    <row r="8" spans="1:16" x14ac:dyDescent="0.2">
      <c r="A8" s="87" t="s">
        <v>9</v>
      </c>
      <c r="B8" s="40">
        <v>43200.167485827231</v>
      </c>
      <c r="C8" s="88">
        <v>40604.093970812763</v>
      </c>
      <c r="D8" s="89">
        <v>87.865251593556692</v>
      </c>
      <c r="E8" s="89">
        <v>3567.6889324738818</v>
      </c>
      <c r="F8" s="111">
        <v>97.095823330989603</v>
      </c>
      <c r="G8" s="74"/>
      <c r="H8" s="16"/>
      <c r="I8" s="16"/>
      <c r="J8" s="16"/>
      <c r="K8" s="46"/>
      <c r="L8" s="46"/>
      <c r="M8" s="46"/>
      <c r="N8" s="50"/>
      <c r="O8" s="50"/>
      <c r="P8" s="50"/>
    </row>
    <row r="9" spans="1:16" x14ac:dyDescent="0.2">
      <c r="A9" s="87" t="s">
        <v>10</v>
      </c>
      <c r="B9" s="40">
        <v>11276.296799231279</v>
      </c>
      <c r="C9" s="88">
        <v>10598.658327632047</v>
      </c>
      <c r="D9" s="89">
        <v>92.505817170613014</v>
      </c>
      <c r="E9" s="89">
        <v>980.43754950972527</v>
      </c>
      <c r="F9" s="111">
        <v>26.682929172374408</v>
      </c>
      <c r="G9" s="74"/>
      <c r="H9" s="16"/>
      <c r="I9" s="16"/>
      <c r="J9" s="16"/>
      <c r="K9" s="46"/>
      <c r="L9" s="46"/>
      <c r="M9" s="46"/>
      <c r="N9" s="50"/>
      <c r="O9" s="50"/>
      <c r="P9" s="50"/>
    </row>
    <row r="10" spans="1:16" x14ac:dyDescent="0.2">
      <c r="A10" s="87" t="s">
        <v>11</v>
      </c>
      <c r="B10" s="40">
        <v>98756.340147517287</v>
      </c>
      <c r="C10" s="88">
        <v>92821.670584468942</v>
      </c>
      <c r="D10" s="89">
        <v>94.457969084082961</v>
      </c>
      <c r="E10" s="89">
        <v>8767.7464904007011</v>
      </c>
      <c r="F10" s="111">
        <v>238.61709368606307</v>
      </c>
      <c r="G10" s="74"/>
      <c r="H10" s="16"/>
      <c r="I10" s="16"/>
      <c r="J10" s="16"/>
      <c r="K10" s="46"/>
      <c r="L10" s="46"/>
      <c r="M10" s="46"/>
      <c r="N10" s="50"/>
      <c r="O10" s="50"/>
      <c r="P10" s="50"/>
    </row>
    <row r="11" spans="1:16" x14ac:dyDescent="0.2">
      <c r="A11" s="87" t="s">
        <v>12</v>
      </c>
      <c r="B11" s="40">
        <v>82886.106063604457</v>
      </c>
      <c r="C11" s="88">
        <v>77905.143321156807</v>
      </c>
      <c r="D11" s="89">
        <v>96.85158012165212</v>
      </c>
      <c r="E11" s="89">
        <v>7545.2362302578103</v>
      </c>
      <c r="F11" s="111">
        <v>205.34607637322586</v>
      </c>
      <c r="G11" s="74"/>
      <c r="H11" s="16"/>
      <c r="I11" s="16"/>
      <c r="J11" s="16"/>
      <c r="K11" s="46"/>
      <c r="L11" s="46"/>
      <c r="M11" s="46"/>
      <c r="N11" s="50"/>
      <c r="O11" s="50"/>
      <c r="P11" s="50"/>
    </row>
    <row r="12" spans="1:16" x14ac:dyDescent="0.2">
      <c r="A12" s="87" t="s">
        <v>13</v>
      </c>
      <c r="B12" s="40">
        <v>25705.933679254867</v>
      </c>
      <c r="C12" s="88">
        <v>24161.159723799123</v>
      </c>
      <c r="D12" s="89">
        <v>90.262749903301653</v>
      </c>
      <c r="E12" s="89">
        <v>2180.8527175230051</v>
      </c>
      <c r="F12" s="111">
        <v>59.352621312949196</v>
      </c>
      <c r="G12" s="74"/>
      <c r="H12" s="16"/>
      <c r="I12" s="16"/>
      <c r="J12" s="16"/>
      <c r="K12" s="46"/>
      <c r="L12" s="46"/>
      <c r="M12" s="46"/>
      <c r="N12" s="50"/>
      <c r="O12" s="50"/>
      <c r="P12" s="50"/>
    </row>
    <row r="13" spans="1:16" x14ac:dyDescent="0.2">
      <c r="A13" s="87" t="s">
        <v>14</v>
      </c>
      <c r="B13" s="40">
        <v>36301.86629595128</v>
      </c>
      <c r="C13" s="88">
        <v>34120.339715818605</v>
      </c>
      <c r="D13" s="89">
        <v>100.48433871968291</v>
      </c>
      <c r="E13" s="89">
        <v>3428.5597732349656</v>
      </c>
      <c r="F13" s="111">
        <v>93.309377673496783</v>
      </c>
      <c r="G13" s="74"/>
      <c r="H13" s="16"/>
      <c r="I13" s="16"/>
      <c r="J13" s="16"/>
      <c r="K13" s="46"/>
      <c r="L13" s="46"/>
      <c r="M13" s="46"/>
      <c r="N13" s="50"/>
      <c r="O13" s="50"/>
      <c r="P13" s="50"/>
    </row>
    <row r="14" spans="1:16" s="17" customFormat="1" ht="15" x14ac:dyDescent="0.25">
      <c r="A14" s="91" t="s">
        <v>15</v>
      </c>
      <c r="B14" s="92">
        <v>478201.36095753626</v>
      </c>
      <c r="C14" s="93">
        <v>449464.29903681524</v>
      </c>
      <c r="D14" s="94">
        <v>95.199916770481423</v>
      </c>
      <c r="E14" s="94">
        <v>42788.963859607582</v>
      </c>
      <c r="F14" s="112">
        <v>1164.5156722079137</v>
      </c>
      <c r="G14" s="74"/>
      <c r="H14" s="16"/>
      <c r="I14" s="16"/>
      <c r="J14" s="16"/>
      <c r="K14" s="47"/>
      <c r="L14" s="46"/>
      <c r="M14" s="47"/>
      <c r="N14" s="50"/>
      <c r="O14" s="50"/>
      <c r="P14" s="50"/>
    </row>
    <row r="15" spans="1:16" x14ac:dyDescent="0.2">
      <c r="A15" s="87" t="s">
        <v>16</v>
      </c>
      <c r="B15" s="40">
        <v>64635.05230450791</v>
      </c>
      <c r="C15" s="88">
        <v>61256.377059370352</v>
      </c>
      <c r="D15" s="89">
        <v>96.477588196874962</v>
      </c>
      <c r="E15" s="89">
        <v>5909.8675203664316</v>
      </c>
      <c r="F15" s="111">
        <v>160.83898106810449</v>
      </c>
      <c r="G15" s="74"/>
      <c r="H15" s="16"/>
      <c r="I15" s="16"/>
      <c r="J15" s="16"/>
      <c r="K15" s="46"/>
      <c r="L15" s="46"/>
      <c r="M15" s="46"/>
      <c r="N15" s="50"/>
      <c r="O15" s="50"/>
      <c r="P15" s="50"/>
    </row>
    <row r="16" spans="1:16" x14ac:dyDescent="0.2">
      <c r="A16" s="87" t="s">
        <v>17</v>
      </c>
      <c r="B16" s="40">
        <v>19008.011604433163</v>
      </c>
      <c r="C16" s="88">
        <v>18014.403709376093</v>
      </c>
      <c r="D16" s="89">
        <v>94.580368971345621</v>
      </c>
      <c r="E16" s="89">
        <v>1703.8089496315681</v>
      </c>
      <c r="F16" s="111">
        <v>46.369718855638148</v>
      </c>
      <c r="G16" s="74"/>
      <c r="H16" s="16"/>
      <c r="I16" s="16"/>
      <c r="J16" s="16"/>
      <c r="K16" s="46"/>
      <c r="L16" s="46"/>
      <c r="M16" s="46"/>
      <c r="N16" s="50"/>
      <c r="O16" s="50"/>
      <c r="P16" s="50"/>
    </row>
    <row r="17" spans="1:16" x14ac:dyDescent="0.2">
      <c r="A17" s="87" t="s">
        <v>18</v>
      </c>
      <c r="B17" s="40">
        <v>34773.690693364573</v>
      </c>
      <c r="C17" s="88">
        <v>32955.961709805801</v>
      </c>
      <c r="D17" s="89">
        <v>89.433337706517648</v>
      </c>
      <c r="E17" s="89">
        <v>2947.3616530361269</v>
      </c>
      <c r="F17" s="111">
        <v>80.213413156872605</v>
      </c>
      <c r="G17" s="74"/>
      <c r="H17" s="16"/>
      <c r="I17" s="16"/>
      <c r="J17" s="16"/>
      <c r="K17" s="46"/>
      <c r="L17" s="46"/>
      <c r="M17" s="46"/>
      <c r="N17" s="50"/>
      <c r="O17" s="50"/>
      <c r="P17" s="50"/>
    </row>
    <row r="18" spans="1:16" x14ac:dyDescent="0.2">
      <c r="A18" s="87" t="s">
        <v>19</v>
      </c>
      <c r="B18" s="40">
        <v>9596.7833892565723</v>
      </c>
      <c r="C18" s="88">
        <v>9095.1296686488913</v>
      </c>
      <c r="D18" s="89">
        <v>83.958475413950694</v>
      </c>
      <c r="E18" s="89">
        <v>763.61322067195147</v>
      </c>
      <c r="F18" s="111">
        <v>20.781984015674709</v>
      </c>
      <c r="G18" s="74"/>
      <c r="H18" s="16"/>
      <c r="I18" s="16"/>
      <c r="J18" s="16"/>
      <c r="K18" s="46"/>
      <c r="L18" s="46"/>
      <c r="M18" s="46"/>
      <c r="N18" s="50"/>
      <c r="O18" s="50"/>
      <c r="P18" s="50"/>
    </row>
    <row r="19" spans="1:16" x14ac:dyDescent="0.2">
      <c r="A19" s="87" t="s">
        <v>20</v>
      </c>
      <c r="B19" s="40">
        <v>106765.84288244495</v>
      </c>
      <c r="C19" s="88">
        <v>101184.86015694626</v>
      </c>
      <c r="D19" s="89">
        <v>99.601606620886301</v>
      </c>
      <c r="E19" s="89">
        <v>10078.174637341554</v>
      </c>
      <c r="F19" s="111">
        <v>274.28082509638455</v>
      </c>
      <c r="G19" s="74"/>
      <c r="H19" s="16"/>
      <c r="I19" s="16"/>
      <c r="J19" s="16"/>
      <c r="K19" s="46"/>
      <c r="L19" s="46"/>
      <c r="M19" s="46"/>
      <c r="N19" s="50"/>
      <c r="O19" s="50"/>
      <c r="P19" s="50"/>
    </row>
    <row r="20" spans="1:16" x14ac:dyDescent="0.2">
      <c r="A20" s="87" t="s">
        <v>21</v>
      </c>
      <c r="B20" s="40">
        <v>13799.445314470373</v>
      </c>
      <c r="C20" s="88">
        <v>13078.105381751253</v>
      </c>
      <c r="D20" s="89">
        <v>95.451056807808001</v>
      </c>
      <c r="E20" s="89">
        <v>1248.3189797320385</v>
      </c>
      <c r="F20" s="111">
        <v>33.973410073264709</v>
      </c>
      <c r="G20" s="74"/>
      <c r="H20" s="16"/>
      <c r="I20" s="16"/>
      <c r="J20" s="16"/>
      <c r="K20" s="46"/>
      <c r="L20" s="46"/>
      <c r="M20" s="46"/>
      <c r="N20" s="50"/>
      <c r="O20" s="50"/>
      <c r="P20" s="50"/>
    </row>
    <row r="21" spans="1:16" x14ac:dyDescent="0.2">
      <c r="A21" s="87" t="s">
        <v>22</v>
      </c>
      <c r="B21" s="40">
        <v>70292.857436979975</v>
      </c>
      <c r="C21" s="88">
        <v>66618.431117752814</v>
      </c>
      <c r="D21" s="89">
        <v>99.062750032387314</v>
      </c>
      <c r="E21" s="89">
        <v>6599.4049893677602</v>
      </c>
      <c r="F21" s="111">
        <v>179.60496922947311</v>
      </c>
      <c r="G21" s="74"/>
      <c r="H21" s="16"/>
      <c r="I21" s="16"/>
      <c r="J21" s="16"/>
      <c r="K21" s="46"/>
      <c r="L21" s="46"/>
      <c r="M21" s="46"/>
      <c r="N21" s="50"/>
      <c r="O21" s="50"/>
      <c r="P21" s="50"/>
    </row>
    <row r="22" spans="1:16" x14ac:dyDescent="0.2">
      <c r="A22" s="87" t="s">
        <v>23</v>
      </c>
      <c r="B22" s="40">
        <v>62831.586226608219</v>
      </c>
      <c r="C22" s="88">
        <v>59547.183763430177</v>
      </c>
      <c r="D22" s="89">
        <v>95.98843513469977</v>
      </c>
      <c r="E22" s="89">
        <v>5715.8409861300652</v>
      </c>
      <c r="F22" s="111">
        <v>155.55848536169347</v>
      </c>
      <c r="G22" s="74"/>
      <c r="H22" s="16"/>
      <c r="I22" s="16"/>
      <c r="J22" s="16"/>
      <c r="K22" s="46"/>
      <c r="L22" s="46"/>
      <c r="M22" s="46"/>
      <c r="N22" s="50"/>
      <c r="O22" s="50"/>
      <c r="P22" s="50"/>
    </row>
    <row r="23" spans="1:16" x14ac:dyDescent="0.2">
      <c r="A23" s="87" t="s">
        <v>24</v>
      </c>
      <c r="B23" s="40">
        <v>22933.968445492734</v>
      </c>
      <c r="C23" s="88">
        <v>21735.138573823428</v>
      </c>
      <c r="D23" s="89">
        <v>93.057989359640459</v>
      </c>
      <c r="E23" s="89">
        <v>2022.6282941331715</v>
      </c>
      <c r="F23" s="111">
        <v>55.046491784595347</v>
      </c>
      <c r="G23" s="74"/>
      <c r="H23" s="16"/>
      <c r="I23" s="16"/>
      <c r="J23" s="16"/>
      <c r="K23" s="46"/>
      <c r="L23" s="46"/>
      <c r="M23" s="46"/>
      <c r="N23" s="50"/>
      <c r="O23" s="50"/>
      <c r="P23" s="50"/>
    </row>
    <row r="24" spans="1:16" x14ac:dyDescent="0.2">
      <c r="A24" s="87" t="s">
        <v>25</v>
      </c>
      <c r="B24" s="40">
        <v>81657.298010892744</v>
      </c>
      <c r="C24" s="88">
        <v>77388.817031339466</v>
      </c>
      <c r="D24" s="89">
        <v>97.873404162058904</v>
      </c>
      <c r="E24" s="89">
        <v>7574.3069669319157</v>
      </c>
      <c r="F24" s="111">
        <v>206.13724599749389</v>
      </c>
      <c r="G24" s="74"/>
      <c r="H24" s="16"/>
      <c r="I24" s="16"/>
      <c r="J24" s="16"/>
      <c r="K24" s="46"/>
      <c r="L24" s="46"/>
      <c r="M24" s="46"/>
      <c r="N24" s="50"/>
      <c r="O24" s="50"/>
      <c r="P24" s="50"/>
    </row>
    <row r="25" spans="1:16" s="17" customFormat="1" ht="15" x14ac:dyDescent="0.25">
      <c r="A25" s="91" t="s">
        <v>26</v>
      </c>
      <c r="B25" s="92">
        <v>486294.53630845126</v>
      </c>
      <c r="C25" s="93">
        <v>460874.4081722445</v>
      </c>
      <c r="D25" s="94">
        <v>96.692993594662227</v>
      </c>
      <c r="E25" s="94">
        <v>44563.326197342583</v>
      </c>
      <c r="F25" s="112">
        <v>1212.805524639195</v>
      </c>
      <c r="G25" s="74"/>
      <c r="H25" s="16"/>
      <c r="I25" s="16"/>
      <c r="J25" s="16"/>
      <c r="K25" s="47"/>
      <c r="L25" s="46"/>
      <c r="M25" s="47"/>
      <c r="N25" s="50"/>
      <c r="O25" s="50"/>
      <c r="P25" s="50"/>
    </row>
    <row r="26" spans="1:16" x14ac:dyDescent="0.2">
      <c r="A26" s="87" t="s">
        <v>27</v>
      </c>
      <c r="B26" s="40">
        <v>20126.309580272235</v>
      </c>
      <c r="C26" s="88">
        <v>19217.904176074841</v>
      </c>
      <c r="D26" s="89">
        <v>81.164075549088068</v>
      </c>
      <c r="E26" s="89">
        <v>1559.8034264420735</v>
      </c>
      <c r="F26" s="111">
        <v>42.450561355379747</v>
      </c>
      <c r="G26" s="74"/>
      <c r="H26" s="16"/>
      <c r="I26" s="16"/>
      <c r="J26" s="16"/>
      <c r="K26" s="46"/>
      <c r="L26" s="46"/>
      <c r="M26" s="46"/>
      <c r="N26" s="50"/>
      <c r="O26" s="50"/>
      <c r="P26" s="50"/>
    </row>
    <row r="27" spans="1:16" x14ac:dyDescent="0.2">
      <c r="A27" s="87" t="s">
        <v>28</v>
      </c>
      <c r="B27" s="118">
        <v>0</v>
      </c>
      <c r="C27" s="118">
        <v>0</v>
      </c>
      <c r="D27" s="118" t="e">
        <v>#DIV/0!</v>
      </c>
      <c r="E27" s="118">
        <v>0</v>
      </c>
      <c r="F27" s="97">
        <v>0</v>
      </c>
      <c r="G27" s="74"/>
      <c r="H27" s="16"/>
      <c r="I27" s="16"/>
      <c r="J27" s="16"/>
      <c r="K27" s="46"/>
      <c r="L27" s="46"/>
      <c r="M27" s="46"/>
      <c r="N27" s="50"/>
      <c r="O27" s="50"/>
      <c r="P27" s="50"/>
    </row>
    <row r="28" spans="1:16" x14ac:dyDescent="0.2">
      <c r="A28" s="87" t="s">
        <v>29</v>
      </c>
      <c r="B28" s="40">
        <v>9426.246259114816</v>
      </c>
      <c r="C28" s="88">
        <v>9000.7905634780636</v>
      </c>
      <c r="D28" s="89">
        <v>81.925856256960117</v>
      </c>
      <c r="E28" s="89">
        <v>737.39747390250682</v>
      </c>
      <c r="F28" s="97">
        <v>20.068513877163806</v>
      </c>
      <c r="G28" s="74"/>
      <c r="H28" s="16"/>
      <c r="I28" s="16"/>
      <c r="J28" s="16"/>
      <c r="K28" s="46"/>
      <c r="L28" s="46"/>
      <c r="M28" s="46"/>
      <c r="N28" s="50"/>
      <c r="O28" s="50"/>
      <c r="P28" s="50"/>
    </row>
    <row r="29" spans="1:16" x14ac:dyDescent="0.2">
      <c r="A29" s="87" t="s">
        <v>30</v>
      </c>
      <c r="B29" s="40">
        <v>15967.913235797854</v>
      </c>
      <c r="C29" s="88">
        <v>15247.197964113275</v>
      </c>
      <c r="D29" s="89">
        <v>80.459253267853171</v>
      </c>
      <c r="E29" s="89">
        <v>1226.7781626196852</v>
      </c>
      <c r="F29" s="111">
        <v>33.387169677217649</v>
      </c>
      <c r="G29" s="74"/>
      <c r="H29" s="16"/>
      <c r="I29" s="16"/>
      <c r="J29" s="16"/>
      <c r="K29" s="46"/>
      <c r="L29" s="46"/>
      <c r="M29" s="46"/>
      <c r="N29" s="50"/>
      <c r="O29" s="50"/>
      <c r="P29" s="50"/>
    </row>
    <row r="30" spans="1:16" x14ac:dyDescent="0.2">
      <c r="A30" s="87" t="s">
        <v>31</v>
      </c>
      <c r="B30" s="118">
        <v>0</v>
      </c>
      <c r="C30" s="118">
        <v>0</v>
      </c>
      <c r="D30" s="118" t="e">
        <v>#DIV/0!</v>
      </c>
      <c r="E30" s="118">
        <v>0</v>
      </c>
      <c r="F30" s="97">
        <v>0</v>
      </c>
      <c r="G30" s="74"/>
      <c r="H30" s="16"/>
      <c r="I30" s="16"/>
      <c r="J30" s="16"/>
      <c r="K30" s="46"/>
      <c r="L30" s="46"/>
      <c r="M30" s="46"/>
      <c r="N30" s="50"/>
      <c r="O30" s="50"/>
      <c r="P30" s="50"/>
    </row>
    <row r="31" spans="1:16" x14ac:dyDescent="0.2">
      <c r="A31" s="87" t="s">
        <v>32</v>
      </c>
      <c r="B31" s="40">
        <v>13833.927232935133</v>
      </c>
      <c r="C31" s="88">
        <v>13209.529888277882</v>
      </c>
      <c r="D31" s="89">
        <v>73.81384046838221</v>
      </c>
      <c r="E31" s="89">
        <v>975.04613183567039</v>
      </c>
      <c r="F31" s="97">
        <v>26.536199973755455</v>
      </c>
      <c r="G31" s="74"/>
      <c r="H31" s="16"/>
      <c r="I31" s="16"/>
      <c r="J31" s="16"/>
      <c r="K31" s="46"/>
      <c r="L31" s="46"/>
      <c r="M31" s="46"/>
      <c r="N31" s="50"/>
      <c r="O31" s="50"/>
      <c r="P31" s="50"/>
    </row>
    <row r="32" spans="1:16" x14ac:dyDescent="0.2">
      <c r="A32" s="87" t="s">
        <v>33</v>
      </c>
      <c r="B32" s="118">
        <v>0</v>
      </c>
      <c r="C32" s="118">
        <v>0</v>
      </c>
      <c r="D32" s="118" t="e">
        <v>#DIV/0!</v>
      </c>
      <c r="E32" s="118">
        <v>0</v>
      </c>
      <c r="F32" s="97">
        <v>0</v>
      </c>
      <c r="G32" s="74"/>
      <c r="H32" s="16"/>
      <c r="I32" s="16"/>
      <c r="J32" s="16"/>
      <c r="K32" s="46"/>
      <c r="L32" s="46"/>
      <c r="M32" s="46"/>
      <c r="N32" s="50"/>
      <c r="O32" s="50"/>
      <c r="P32" s="50"/>
    </row>
    <row r="33" spans="1:16" x14ac:dyDescent="0.2">
      <c r="A33" s="87" t="s">
        <v>34</v>
      </c>
      <c r="B33" s="40">
        <v>6889.5697011548318</v>
      </c>
      <c r="C33" s="88">
        <v>6578.6074592116656</v>
      </c>
      <c r="D33" s="89">
        <v>71.815128443754986</v>
      </c>
      <c r="E33" s="89">
        <v>472.44353966433039</v>
      </c>
      <c r="F33" s="97">
        <v>12.857705738741846</v>
      </c>
      <c r="G33" s="74"/>
      <c r="H33" s="16"/>
      <c r="I33" s="16"/>
      <c r="J33" s="16"/>
      <c r="K33" s="46"/>
      <c r="L33" s="46"/>
      <c r="M33" s="46"/>
      <c r="N33" s="50"/>
      <c r="O33" s="50"/>
      <c r="P33" s="50"/>
    </row>
    <row r="34" spans="1:16" x14ac:dyDescent="0.2">
      <c r="A34" s="87" t="s">
        <v>35</v>
      </c>
      <c r="B34" s="40">
        <v>10056.306311307879</v>
      </c>
      <c r="C34" s="88">
        <v>9602.4127168055493</v>
      </c>
      <c r="D34" s="89">
        <v>76.845865429533006</v>
      </c>
      <c r="E34" s="89">
        <v>737.90571543447572</v>
      </c>
      <c r="F34" s="97">
        <v>20.082345836993134</v>
      </c>
      <c r="G34" s="74"/>
      <c r="H34" s="16"/>
      <c r="I34" s="16"/>
      <c r="J34" s="16"/>
      <c r="K34" s="46"/>
      <c r="L34" s="46"/>
      <c r="M34" s="46"/>
      <c r="N34" s="50"/>
      <c r="O34" s="50"/>
      <c r="P34" s="50"/>
    </row>
    <row r="35" spans="1:16" x14ac:dyDescent="0.2">
      <c r="A35" s="87" t="s">
        <v>36</v>
      </c>
      <c r="B35" s="40">
        <v>16978.748710837986</v>
      </c>
      <c r="C35" s="88">
        <v>16212.40915792994</v>
      </c>
      <c r="D35" s="89">
        <v>81.247311734288488</v>
      </c>
      <c r="E35" s="89">
        <v>1317.2146608181674</v>
      </c>
      <c r="F35" s="97">
        <v>35.848428609246881</v>
      </c>
      <c r="G35" s="74"/>
      <c r="H35" s="16"/>
      <c r="I35" s="16"/>
      <c r="J35" s="16"/>
      <c r="K35" s="46"/>
      <c r="L35" s="46"/>
      <c r="M35" s="46"/>
      <c r="N35" s="50"/>
      <c r="O35" s="50"/>
      <c r="P35" s="50"/>
    </row>
    <row r="36" spans="1:16" s="17" customFormat="1" ht="15" x14ac:dyDescent="0.25">
      <c r="A36" s="91" t="s">
        <v>37</v>
      </c>
      <c r="B36" s="92">
        <v>93279.021031420736</v>
      </c>
      <c r="C36" s="93">
        <v>89068.851925891213</v>
      </c>
      <c r="D36" s="94">
        <v>78.889409246717449</v>
      </c>
      <c r="E36" s="94">
        <v>7026.5891107169091</v>
      </c>
      <c r="F36" s="98">
        <v>191.23092506849849</v>
      </c>
      <c r="G36" s="74"/>
      <c r="H36" s="16"/>
      <c r="I36" s="16"/>
      <c r="J36" s="16"/>
      <c r="K36" s="47"/>
      <c r="L36" s="46"/>
      <c r="M36" s="47"/>
      <c r="N36" s="50"/>
      <c r="O36" s="50"/>
      <c r="P36" s="50"/>
    </row>
    <row r="37" spans="1:16" x14ac:dyDescent="0.2">
      <c r="A37" s="87" t="s">
        <v>38</v>
      </c>
      <c r="B37" s="40">
        <v>1278.8509115700779</v>
      </c>
      <c r="C37" s="88">
        <v>1214.1616825087331</v>
      </c>
      <c r="D37" s="89">
        <v>69.783122725096277</v>
      </c>
      <c r="E37" s="89">
        <v>84.727993698616302</v>
      </c>
      <c r="F37" s="97">
        <v>2.3059001115451858</v>
      </c>
      <c r="G37" s="74"/>
      <c r="H37" s="16"/>
      <c r="I37" s="16"/>
      <c r="J37" s="16"/>
      <c r="K37" s="46"/>
      <c r="L37" s="46"/>
      <c r="M37" s="46"/>
      <c r="N37" s="50"/>
      <c r="O37" s="50"/>
      <c r="P37" s="50"/>
    </row>
    <row r="38" spans="1:16" x14ac:dyDescent="0.2">
      <c r="A38" s="87" t="s">
        <v>39</v>
      </c>
      <c r="B38" s="40">
        <v>4082.485602319849</v>
      </c>
      <c r="C38" s="88">
        <v>3875.9776787778642</v>
      </c>
      <c r="D38" s="88">
        <v>87.54322535472528</v>
      </c>
      <c r="E38" s="89">
        <v>339.31558740313557</v>
      </c>
      <c r="F38" s="97">
        <v>9.2345848955784771</v>
      </c>
      <c r="G38" s="74"/>
      <c r="H38" s="16"/>
      <c r="I38" s="16"/>
      <c r="J38" s="16"/>
      <c r="K38" s="46"/>
      <c r="L38" s="46"/>
      <c r="M38" s="46"/>
      <c r="N38" s="50"/>
      <c r="O38" s="50"/>
      <c r="P38" s="50"/>
    </row>
    <row r="39" spans="1:16" x14ac:dyDescent="0.2">
      <c r="A39" s="87" t="s">
        <v>40</v>
      </c>
      <c r="B39" s="40">
        <v>388.02741333963775</v>
      </c>
      <c r="C39" s="88">
        <v>368.39948486375965</v>
      </c>
      <c r="D39" s="89">
        <v>59.1546059465363</v>
      </c>
      <c r="E39" s="89">
        <v>21.792526358022666</v>
      </c>
      <c r="F39" s="97">
        <v>0.59309074564616449</v>
      </c>
      <c r="G39" s="74"/>
      <c r="H39" s="16"/>
      <c r="I39" s="16"/>
      <c r="J39" s="16"/>
      <c r="K39" s="46"/>
      <c r="L39" s="46"/>
      <c r="M39" s="46"/>
      <c r="N39" s="50"/>
      <c r="O39" s="50"/>
      <c r="P39" s="50"/>
    </row>
    <row r="40" spans="1:16" x14ac:dyDescent="0.2">
      <c r="A40" s="87" t="s">
        <v>41</v>
      </c>
      <c r="B40" s="40">
        <v>2732.5874178847766</v>
      </c>
      <c r="C40" s="88">
        <v>2594.3625694631</v>
      </c>
      <c r="D40" s="89">
        <v>68.113377209703174</v>
      </c>
      <c r="E40" s="89">
        <v>176.7107963125749</v>
      </c>
      <c r="F40" s="97">
        <v>4.8092422249231142</v>
      </c>
      <c r="G40" s="74"/>
      <c r="H40" s="16"/>
      <c r="I40" s="16"/>
      <c r="J40" s="16"/>
      <c r="K40" s="46"/>
      <c r="L40" s="46"/>
      <c r="M40" s="46"/>
      <c r="N40" s="50"/>
      <c r="O40" s="50"/>
      <c r="P40" s="50"/>
    </row>
    <row r="41" spans="1:16" x14ac:dyDescent="0.2">
      <c r="A41" s="87" t="s">
        <v>42</v>
      </c>
      <c r="B41" s="40">
        <v>12269.317506302641</v>
      </c>
      <c r="C41" s="88">
        <v>11648.687936889313</v>
      </c>
      <c r="D41" s="89">
        <v>89.450821299551492</v>
      </c>
      <c r="E41" s="89">
        <v>1041.9847030169271</v>
      </c>
      <c r="F41" s="97">
        <v>28.357955122385345</v>
      </c>
      <c r="G41" s="74"/>
      <c r="H41" s="16"/>
      <c r="I41" s="16"/>
      <c r="J41" s="16"/>
      <c r="K41" s="46"/>
      <c r="L41" s="46"/>
      <c r="M41" s="46"/>
      <c r="N41" s="50"/>
      <c r="O41" s="50"/>
      <c r="P41" s="50"/>
    </row>
    <row r="42" spans="1:16" x14ac:dyDescent="0.2">
      <c r="A42" s="87" t="s">
        <v>43</v>
      </c>
      <c r="B42" s="40">
        <v>5492.5007099483946</v>
      </c>
      <c r="C42" s="88">
        <v>5214.6687646208247</v>
      </c>
      <c r="D42" s="89">
        <v>75.28617242406601</v>
      </c>
      <c r="E42" s="89">
        <v>392.59245174763464</v>
      </c>
      <c r="F42" s="97">
        <v>10.684532216079758</v>
      </c>
      <c r="G42" s="74"/>
      <c r="H42" s="16"/>
      <c r="I42" s="16"/>
      <c r="J42" s="16"/>
      <c r="K42" s="46"/>
      <c r="L42" s="46"/>
      <c r="M42" s="46"/>
      <c r="N42" s="50"/>
      <c r="O42" s="50"/>
      <c r="P42" s="50"/>
    </row>
    <row r="43" spans="1:16" x14ac:dyDescent="0.2">
      <c r="A43" s="87" t="s">
        <v>44</v>
      </c>
      <c r="B43" s="40">
        <v>4765.6324567910397</v>
      </c>
      <c r="C43" s="88">
        <v>4524.5683211436362</v>
      </c>
      <c r="D43" s="89">
        <v>76.51897260239511</v>
      </c>
      <c r="E43" s="89">
        <v>346.21531940325474</v>
      </c>
      <c r="F43" s="97">
        <v>9.4223633628144654</v>
      </c>
      <c r="G43" s="74"/>
      <c r="H43" s="16"/>
      <c r="I43" s="16"/>
      <c r="J43" s="16"/>
      <c r="K43" s="46"/>
      <c r="L43" s="46"/>
      <c r="M43" s="46"/>
      <c r="N43" s="50"/>
      <c r="O43" s="50"/>
      <c r="P43" s="50"/>
    </row>
    <row r="44" spans="1:16" x14ac:dyDescent="0.2">
      <c r="A44" s="87" t="s">
        <v>45</v>
      </c>
      <c r="B44" s="40">
        <v>10397.495125051517</v>
      </c>
      <c r="C44" s="88">
        <v>9871.5495768070396</v>
      </c>
      <c r="D44" s="89">
        <v>83.640477201304833</v>
      </c>
      <c r="E44" s="89">
        <v>825.66111732047966</v>
      </c>
      <c r="F44" s="97">
        <v>22.470637854356621</v>
      </c>
      <c r="G44" s="74"/>
      <c r="H44" s="16"/>
      <c r="I44" s="16"/>
      <c r="J44" s="16"/>
      <c r="K44" s="46"/>
      <c r="L44" s="46"/>
      <c r="M44" s="46"/>
      <c r="N44" s="50"/>
      <c r="O44" s="50"/>
      <c r="P44" s="50"/>
    </row>
    <row r="45" spans="1:16" s="17" customFormat="1" ht="15" x14ac:dyDescent="0.25">
      <c r="A45" s="91" t="s">
        <v>46</v>
      </c>
      <c r="B45" s="92">
        <v>41406.897143207934</v>
      </c>
      <c r="C45" s="93">
        <v>39312.376015074275</v>
      </c>
      <c r="D45" s="94">
        <v>82.13699660438968</v>
      </c>
      <c r="E45" s="94">
        <v>3229.0004952606459</v>
      </c>
      <c r="F45" s="98">
        <v>87.878306533329138</v>
      </c>
      <c r="G45" s="74"/>
      <c r="H45" s="16"/>
      <c r="I45" s="16"/>
      <c r="J45" s="16"/>
      <c r="K45" s="47"/>
      <c r="L45" s="46"/>
      <c r="M45" s="47"/>
      <c r="N45" s="50"/>
      <c r="O45" s="50"/>
      <c r="P45" s="50"/>
    </row>
    <row r="46" spans="1:16" x14ac:dyDescent="0.2">
      <c r="A46" s="87" t="s">
        <v>47</v>
      </c>
      <c r="B46" s="118">
        <v>0</v>
      </c>
      <c r="C46" s="118">
        <v>0</v>
      </c>
      <c r="D46" s="118"/>
      <c r="E46" s="118">
        <v>0</v>
      </c>
      <c r="F46" s="97">
        <v>0</v>
      </c>
      <c r="G46" s="74"/>
      <c r="H46" s="16"/>
      <c r="I46" s="16"/>
      <c r="J46" s="16"/>
      <c r="K46" s="46"/>
      <c r="L46" s="46"/>
      <c r="M46" s="46"/>
      <c r="N46" s="50"/>
      <c r="O46" s="50"/>
      <c r="P46" s="50"/>
    </row>
    <row r="47" spans="1:16" x14ac:dyDescent="0.2">
      <c r="A47" s="87" t="s">
        <v>48</v>
      </c>
      <c r="B47" s="40">
        <v>0</v>
      </c>
      <c r="C47" s="40">
        <v>0</v>
      </c>
      <c r="D47" s="113"/>
      <c r="E47" s="113">
        <v>0</v>
      </c>
      <c r="F47" s="97">
        <v>0</v>
      </c>
      <c r="G47" s="74"/>
      <c r="H47" s="16"/>
      <c r="I47" s="16"/>
      <c r="J47" s="16"/>
      <c r="K47" s="46"/>
      <c r="L47" s="46"/>
      <c r="M47" s="46"/>
      <c r="N47" s="50"/>
      <c r="O47" s="50"/>
      <c r="P47" s="50"/>
    </row>
    <row r="48" spans="1:16" x14ac:dyDescent="0.2">
      <c r="A48" s="99" t="s">
        <v>49</v>
      </c>
      <c r="B48" s="118">
        <v>0</v>
      </c>
      <c r="C48" s="118">
        <v>0</v>
      </c>
      <c r="D48" s="118"/>
      <c r="E48" s="118">
        <v>0</v>
      </c>
      <c r="F48" s="97">
        <v>0</v>
      </c>
      <c r="G48" s="74"/>
      <c r="H48" s="16"/>
      <c r="I48" s="16"/>
      <c r="J48" s="16"/>
      <c r="K48" s="46"/>
      <c r="L48" s="46"/>
      <c r="M48" s="46"/>
      <c r="N48" s="50"/>
      <c r="O48" s="50"/>
      <c r="P48" s="50"/>
    </row>
    <row r="49" spans="1:16" x14ac:dyDescent="0.2">
      <c r="A49" s="87" t="s">
        <v>50</v>
      </c>
      <c r="B49" s="40">
        <v>0</v>
      </c>
      <c r="C49" s="40">
        <v>0</v>
      </c>
      <c r="D49" s="40"/>
      <c r="E49" s="113">
        <v>0</v>
      </c>
      <c r="F49" s="97">
        <v>0</v>
      </c>
      <c r="G49" s="74"/>
      <c r="H49" s="16"/>
      <c r="I49" s="16"/>
      <c r="J49" s="16"/>
      <c r="K49" s="46"/>
      <c r="L49" s="46"/>
      <c r="M49" s="46"/>
      <c r="N49" s="50"/>
      <c r="O49" s="50"/>
      <c r="P49" s="50"/>
    </row>
    <row r="50" spans="1:16" x14ac:dyDescent="0.2">
      <c r="A50" s="87" t="s">
        <v>51</v>
      </c>
      <c r="B50" s="40">
        <v>2158.8989497321177</v>
      </c>
      <c r="C50" s="40">
        <v>1717.9245061411029</v>
      </c>
      <c r="D50" s="113">
        <v>69.012557149851276</v>
      </c>
      <c r="E50" s="113">
        <v>118.55836315919288</v>
      </c>
      <c r="F50" s="97">
        <v>3.2266047016980428</v>
      </c>
      <c r="G50" s="74"/>
      <c r="H50" s="16"/>
      <c r="I50" s="16"/>
      <c r="J50" s="16"/>
      <c r="K50" s="46"/>
      <c r="L50" s="46"/>
      <c r="M50" s="46"/>
      <c r="N50" s="50"/>
      <c r="O50" s="50"/>
      <c r="P50" s="50"/>
    </row>
    <row r="51" spans="1:16" x14ac:dyDescent="0.2">
      <c r="A51" s="87" t="s">
        <v>52</v>
      </c>
      <c r="B51" s="40">
        <v>0</v>
      </c>
      <c r="C51" s="88">
        <v>0</v>
      </c>
      <c r="D51" s="89"/>
      <c r="E51" s="89">
        <v>0</v>
      </c>
      <c r="F51" s="97">
        <v>0</v>
      </c>
      <c r="G51" s="74"/>
      <c r="H51" s="16"/>
      <c r="I51" s="16"/>
      <c r="J51" s="16"/>
      <c r="K51" s="46"/>
      <c r="L51" s="46"/>
      <c r="M51" s="46"/>
      <c r="N51" s="50"/>
      <c r="O51" s="50"/>
      <c r="P51" s="50"/>
    </row>
    <row r="52" spans="1:16" x14ac:dyDescent="0.2">
      <c r="A52" s="87" t="s">
        <v>53</v>
      </c>
      <c r="B52" s="118">
        <v>0</v>
      </c>
      <c r="C52" s="118">
        <v>0</v>
      </c>
      <c r="D52" s="118"/>
      <c r="E52" s="118">
        <v>0</v>
      </c>
      <c r="F52" s="97">
        <v>0</v>
      </c>
      <c r="G52" s="74"/>
      <c r="H52" s="16"/>
      <c r="I52" s="16"/>
      <c r="J52" s="16"/>
      <c r="K52" s="46"/>
      <c r="L52" s="46"/>
      <c r="M52" s="46"/>
      <c r="N52" s="50"/>
      <c r="O52" s="50"/>
      <c r="P52" s="50"/>
    </row>
    <row r="53" spans="1:16" x14ac:dyDescent="0.2">
      <c r="A53" s="87" t="s">
        <v>54</v>
      </c>
      <c r="B53" s="40">
        <v>0</v>
      </c>
      <c r="C53" s="40">
        <v>0</v>
      </c>
      <c r="D53" s="40"/>
      <c r="E53" s="113">
        <v>0</v>
      </c>
      <c r="F53" s="97">
        <v>0</v>
      </c>
      <c r="G53" s="74"/>
      <c r="H53" s="16"/>
      <c r="I53" s="16"/>
      <c r="J53" s="16"/>
      <c r="K53" s="46"/>
      <c r="L53" s="46"/>
      <c r="M53" s="46"/>
      <c r="N53" s="50"/>
      <c r="O53" s="50"/>
      <c r="P53" s="50"/>
    </row>
    <row r="54" spans="1:16" x14ac:dyDescent="0.2">
      <c r="A54" s="87" t="s">
        <v>55</v>
      </c>
      <c r="B54" s="118">
        <v>0</v>
      </c>
      <c r="C54" s="118">
        <v>0</v>
      </c>
      <c r="D54" s="118">
        <v>0</v>
      </c>
      <c r="E54" s="118">
        <v>0</v>
      </c>
      <c r="F54" s="97">
        <v>0</v>
      </c>
      <c r="G54" s="74"/>
      <c r="H54" s="16"/>
      <c r="I54" s="16"/>
      <c r="J54" s="16"/>
      <c r="K54" s="46"/>
      <c r="L54" s="46"/>
      <c r="M54" s="46"/>
      <c r="N54" s="50"/>
      <c r="O54" s="50"/>
      <c r="P54" s="50"/>
    </row>
    <row r="55" spans="1:16" x14ac:dyDescent="0.2">
      <c r="A55" s="87" t="s">
        <v>56</v>
      </c>
      <c r="B55" s="40">
        <v>6360.2856313186576</v>
      </c>
      <c r="C55" s="88">
        <v>5061.1403342686554</v>
      </c>
      <c r="D55" s="89">
        <v>46.81019659250871</v>
      </c>
      <c r="E55" s="89">
        <v>236.91297402939099</v>
      </c>
      <c r="F55" s="97">
        <v>6.4476642180870618</v>
      </c>
      <c r="G55" s="74"/>
      <c r="H55" s="16"/>
      <c r="I55" s="16"/>
      <c r="J55" s="16"/>
      <c r="K55" s="46"/>
      <c r="L55" s="46"/>
      <c r="M55" s="46"/>
      <c r="N55" s="50"/>
      <c r="O55" s="50"/>
      <c r="P55" s="50"/>
    </row>
    <row r="56" spans="1:16" s="17" customFormat="1" ht="15" x14ac:dyDescent="0.25">
      <c r="A56" s="91" t="s">
        <v>57</v>
      </c>
      <c r="B56" s="92">
        <v>8519.1845810507748</v>
      </c>
      <c r="C56" s="93">
        <v>6779.0648404097583</v>
      </c>
      <c r="D56" s="94">
        <v>52.436633305176883</v>
      </c>
      <c r="E56" s="94">
        <v>355.4713371885839</v>
      </c>
      <c r="F56" s="112">
        <v>9.6742689197851046</v>
      </c>
      <c r="G56" s="74"/>
      <c r="H56" s="16"/>
      <c r="I56" s="16"/>
      <c r="J56" s="16"/>
      <c r="K56" s="47"/>
      <c r="L56" s="46"/>
      <c r="M56" s="47"/>
      <c r="N56" s="50"/>
      <c r="O56" s="50"/>
      <c r="P56" s="50"/>
    </row>
    <row r="57" spans="1:16" s="17" customFormat="1" ht="15" x14ac:dyDescent="0.25">
      <c r="A57" s="100" t="s">
        <v>0</v>
      </c>
      <c r="B57" s="101">
        <v>1107701.000021667</v>
      </c>
      <c r="C57" s="102">
        <v>1045498.9999904351</v>
      </c>
      <c r="D57" s="103">
        <v>93.700089623133294</v>
      </c>
      <c r="E57" s="103">
        <v>97963.35</v>
      </c>
      <c r="F57" s="114">
        <v>2666.1046701502287</v>
      </c>
      <c r="G57" s="74"/>
      <c r="H57" s="16"/>
      <c r="I57" s="115"/>
      <c r="J57" s="115"/>
      <c r="K57" s="116"/>
      <c r="L57" s="46"/>
      <c r="M57" s="47"/>
      <c r="N57" s="50"/>
      <c r="O57" s="50"/>
      <c r="P57" s="50"/>
    </row>
    <row r="58" spans="1:16" s="22" customFormat="1" x14ac:dyDescent="0.2">
      <c r="A58" s="1" t="s">
        <v>155</v>
      </c>
      <c r="B58" s="20">
        <v>1107701.000021667</v>
      </c>
      <c r="C58" s="16">
        <v>1045498.9999904351</v>
      </c>
      <c r="D58" s="20">
        <v>93.700090579725597</v>
      </c>
      <c r="E58" s="15">
        <v>97963.351000116309</v>
      </c>
      <c r="F58" s="21">
        <v>2666.1046973687216</v>
      </c>
      <c r="G58" s="20"/>
      <c r="H58" s="117"/>
      <c r="I58" s="117"/>
      <c r="J58" s="117"/>
      <c r="K58" s="117"/>
      <c r="L58" s="40"/>
      <c r="M58" s="40"/>
      <c r="N58" s="40"/>
    </row>
    <row r="59" spans="1:16" ht="171" x14ac:dyDescent="0.2">
      <c r="A59" s="105" t="s">
        <v>58</v>
      </c>
      <c r="B59" s="119"/>
      <c r="C59" s="119"/>
      <c r="D59" s="119"/>
      <c r="E59" s="119"/>
      <c r="F59" s="119"/>
      <c r="G59" s="3"/>
      <c r="H59" s="3"/>
      <c r="I59" s="3"/>
      <c r="J59" s="3"/>
    </row>
    <row r="60" spans="1:16" ht="15" x14ac:dyDescent="0.2">
      <c r="A60"/>
      <c r="B60" s="6"/>
      <c r="C60" s="6"/>
      <c r="D60" s="8"/>
      <c r="E60" s="12"/>
      <c r="F60" s="14"/>
      <c r="G60" s="3"/>
      <c r="H60" s="3"/>
      <c r="I60" s="3"/>
      <c r="J60" s="3"/>
    </row>
    <row r="61" spans="1:16" ht="15" x14ac:dyDescent="0.25">
      <c r="A61" s="17" t="s">
        <v>60</v>
      </c>
      <c r="B61" s="6"/>
      <c r="C61" s="6"/>
      <c r="D61" s="8"/>
      <c r="E61" s="6"/>
      <c r="F61" s="7"/>
      <c r="G61" s="3"/>
      <c r="H61" s="3"/>
      <c r="I61" s="3"/>
      <c r="J61" s="3"/>
    </row>
    <row r="62" spans="1:16" x14ac:dyDescent="0.2">
      <c r="A62" s="41" t="s">
        <v>162</v>
      </c>
      <c r="B62" s="6"/>
      <c r="C62" s="6"/>
      <c r="D62" s="8"/>
      <c r="E62" s="6"/>
      <c r="F62" s="7"/>
      <c r="G62" s="3"/>
      <c r="H62" s="3"/>
      <c r="I62" s="3"/>
      <c r="J62" s="3"/>
    </row>
    <row r="63" spans="1:16" x14ac:dyDescent="0.2">
      <c r="A63" s="3"/>
      <c r="B63" s="6"/>
      <c r="C63" s="6"/>
      <c r="D63" s="8"/>
      <c r="E63" s="6"/>
      <c r="F63" s="7"/>
      <c r="G63" s="3"/>
      <c r="H63" s="3"/>
      <c r="I63" s="3"/>
      <c r="J63" s="3"/>
    </row>
    <row r="64" spans="1:16" x14ac:dyDescent="0.2">
      <c r="A64" s="3"/>
      <c r="B64" s="6"/>
      <c r="C64" s="6"/>
      <c r="D64" s="8"/>
      <c r="E64" s="6"/>
      <c r="F64" s="7"/>
      <c r="G64" s="3"/>
      <c r="H64" s="3"/>
      <c r="I64" s="3"/>
      <c r="J64" s="3"/>
    </row>
    <row r="65" spans="1:10" x14ac:dyDescent="0.2">
      <c r="A65" s="3"/>
      <c r="B65" s="6"/>
      <c r="C65" s="6"/>
      <c r="D65" s="8"/>
      <c r="E65" s="6"/>
      <c r="F65" s="7"/>
      <c r="G65" s="3"/>
      <c r="H65" s="3"/>
      <c r="I65" s="3"/>
      <c r="J65" s="3"/>
    </row>
    <row r="66" spans="1:10" x14ac:dyDescent="0.2">
      <c r="A66" s="3"/>
      <c r="B66" s="6"/>
      <c r="C66" s="6"/>
      <c r="D66" s="8"/>
      <c r="E66" s="6"/>
      <c r="F66" s="7"/>
      <c r="G66" s="3"/>
      <c r="H66" s="3"/>
      <c r="I66" s="3"/>
      <c r="J66" s="3"/>
    </row>
    <row r="67" spans="1:10" x14ac:dyDescent="0.2">
      <c r="A67" s="3"/>
      <c r="B67" s="6"/>
      <c r="C67" s="6"/>
      <c r="D67" s="8"/>
      <c r="E67" s="6"/>
      <c r="F67" s="7"/>
      <c r="G67" s="3"/>
      <c r="H67" s="3"/>
      <c r="I67" s="3"/>
      <c r="J67" s="3"/>
    </row>
    <row r="68" spans="1:10" x14ac:dyDescent="0.2">
      <c r="A68" s="3"/>
      <c r="B68" s="6"/>
      <c r="C68" s="6"/>
      <c r="D68" s="8"/>
      <c r="E68" s="6"/>
      <c r="F68" s="7"/>
      <c r="G68" s="3"/>
      <c r="H68" s="3"/>
      <c r="I68" s="3"/>
      <c r="J68" s="3"/>
    </row>
    <row r="69" spans="1:10" x14ac:dyDescent="0.2">
      <c r="A69" s="3"/>
      <c r="B69" s="6"/>
      <c r="C69" s="6"/>
      <c r="D69" s="8"/>
      <c r="E69" s="6"/>
      <c r="F69" s="7"/>
      <c r="G69" s="3"/>
      <c r="H69" s="3"/>
      <c r="I69" s="3"/>
      <c r="J69" s="3"/>
    </row>
    <row r="70" spans="1:10" x14ac:dyDescent="0.2">
      <c r="A70" s="3"/>
      <c r="B70" s="3"/>
      <c r="C70" s="3"/>
      <c r="D70" s="3"/>
      <c r="E70" s="6"/>
      <c r="F70" s="7"/>
      <c r="G70" s="3"/>
      <c r="H70" s="3"/>
      <c r="I70" s="3"/>
      <c r="J70" s="3"/>
    </row>
    <row r="71" spans="1:10" x14ac:dyDescent="0.2">
      <c r="A71" s="3"/>
      <c r="B71" s="3"/>
      <c r="C71" s="3"/>
      <c r="D71" s="3"/>
      <c r="E71" s="6"/>
      <c r="F71" s="7"/>
      <c r="G71" s="3"/>
      <c r="H71" s="3"/>
      <c r="I71" s="3"/>
      <c r="J71" s="3"/>
    </row>
    <row r="72" spans="1:10" x14ac:dyDescent="0.2">
      <c r="A72" s="3"/>
      <c r="B72" s="3"/>
      <c r="C72" s="3"/>
      <c r="D72" s="3"/>
      <c r="E72" s="6"/>
      <c r="F72" s="7"/>
      <c r="G72" s="3"/>
      <c r="H72" s="3"/>
      <c r="I72" s="3"/>
      <c r="J72" s="3"/>
    </row>
    <row r="73" spans="1:10" x14ac:dyDescent="0.2">
      <c r="A73" s="3"/>
      <c r="B73" s="3"/>
      <c r="C73" s="3"/>
      <c r="D73" s="3"/>
      <c r="E73" s="6"/>
      <c r="F73" s="7"/>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E80" s="3"/>
      <c r="F80" s="3"/>
      <c r="G80" s="3"/>
      <c r="H80" s="3"/>
      <c r="I80" s="3"/>
      <c r="J80" s="3"/>
    </row>
    <row r="81" spans="1:10" x14ac:dyDescent="0.2">
      <c r="A81" s="3"/>
      <c r="E81" s="3"/>
      <c r="F81" s="3"/>
      <c r="G81" s="3"/>
      <c r="H81" s="3"/>
      <c r="I81" s="3"/>
      <c r="J81" s="3"/>
    </row>
    <row r="82" spans="1:10" x14ac:dyDescent="0.2">
      <c r="A82" s="3"/>
      <c r="E82" s="3"/>
      <c r="F82" s="3"/>
      <c r="G82" s="3"/>
      <c r="H82" s="3"/>
      <c r="I82" s="3"/>
      <c r="J82" s="3"/>
    </row>
    <row r="83" spans="1:10" x14ac:dyDescent="0.2">
      <c r="A83" s="3"/>
      <c r="E83" s="3"/>
      <c r="F83" s="3"/>
      <c r="G83" s="3"/>
      <c r="H83" s="3"/>
      <c r="I83" s="3"/>
      <c r="J8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E6971-8B4D-4A48-BE7B-DE12ED91781D}">
  <dimension ref="A1:P83"/>
  <sheetViews>
    <sheetView workbookViewId="0">
      <selection sqref="A1:XFD1048576"/>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7" width="9.77734375" style="1"/>
    <col min="8" max="9" width="11.21875" style="1" bestFit="1" customWidth="1"/>
    <col min="10" max="10" width="9.88671875" style="1" bestFit="1" customWidth="1"/>
    <col min="11" max="11" width="10.33203125" style="1" bestFit="1" customWidth="1"/>
    <col min="12" max="12" width="10.21875" style="1" bestFit="1" customWidth="1"/>
    <col min="13" max="13" width="9.88671875" style="1" bestFit="1" customWidth="1"/>
    <col min="14" max="14" width="12.44140625" style="1" bestFit="1" customWidth="1"/>
    <col min="15" max="16384" width="9.77734375" style="1"/>
  </cols>
  <sheetData>
    <row r="1" spans="1:16" ht="18" x14ac:dyDescent="0.25">
      <c r="A1" s="106" t="s">
        <v>158</v>
      </c>
    </row>
    <row r="2" spans="1:16" ht="15" x14ac:dyDescent="0.25">
      <c r="A2" s="80" t="s">
        <v>159</v>
      </c>
      <c r="B2" s="81"/>
      <c r="C2" s="81"/>
      <c r="D2" s="81"/>
      <c r="E2" s="81"/>
      <c r="F2" s="81"/>
      <c r="G2" s="3"/>
      <c r="H2" s="3"/>
      <c r="I2" s="3"/>
      <c r="J2" s="3"/>
    </row>
    <row r="3" spans="1:16" ht="47.25" customHeight="1" thickBot="1" x14ac:dyDescent="0.3">
      <c r="A3" s="82"/>
      <c r="B3" s="83" t="s">
        <v>59</v>
      </c>
      <c r="C3" s="84" t="s">
        <v>2</v>
      </c>
      <c r="D3" s="85" t="s">
        <v>3</v>
      </c>
      <c r="E3" s="84" t="s">
        <v>4</v>
      </c>
      <c r="F3" s="86" t="s">
        <v>1</v>
      </c>
      <c r="G3" s="3"/>
      <c r="H3" s="3"/>
      <c r="I3" s="3"/>
      <c r="J3" s="3"/>
    </row>
    <row r="4" spans="1:16" x14ac:dyDescent="0.2">
      <c r="A4" s="87" t="s">
        <v>5</v>
      </c>
      <c r="B4" s="40">
        <v>6228.7434213377837</v>
      </c>
      <c r="C4" s="88">
        <v>5471.7128164235864</v>
      </c>
      <c r="D4" s="89">
        <v>78.87051828890614</v>
      </c>
      <c r="E4" s="89">
        <v>431.55682575937863</v>
      </c>
      <c r="F4" s="111">
        <v>11.744960422364985</v>
      </c>
      <c r="G4" s="74"/>
      <c r="H4" s="16"/>
      <c r="I4" s="16"/>
      <c r="J4" s="16"/>
      <c r="K4" s="46"/>
      <c r="L4" s="46"/>
      <c r="M4" s="46"/>
      <c r="N4" s="50"/>
      <c r="O4" s="50"/>
      <c r="P4" s="50"/>
    </row>
    <row r="5" spans="1:16" x14ac:dyDescent="0.2">
      <c r="A5" s="87" t="s">
        <v>6</v>
      </c>
      <c r="B5" s="40">
        <v>85129.591906173591</v>
      </c>
      <c r="C5" s="88">
        <v>74783.089875594203</v>
      </c>
      <c r="D5" s="89">
        <v>96.537772453618771</v>
      </c>
      <c r="E5" s="89">
        <v>7219.3929137886353</v>
      </c>
      <c r="F5" s="111">
        <v>196.47814374560858</v>
      </c>
      <c r="G5" s="74"/>
      <c r="H5" s="16"/>
      <c r="I5" s="16"/>
      <c r="J5" s="16"/>
      <c r="K5" s="46"/>
      <c r="L5" s="46"/>
      <c r="M5" s="46"/>
      <c r="N5" s="50"/>
      <c r="O5" s="50"/>
      <c r="P5" s="50"/>
    </row>
    <row r="6" spans="1:16" x14ac:dyDescent="0.2">
      <c r="A6" s="87" t="s">
        <v>7</v>
      </c>
      <c r="B6" s="40">
        <v>27560.902708960741</v>
      </c>
      <c r="C6" s="88">
        <v>24211.198693497423</v>
      </c>
      <c r="D6" s="89">
        <v>91.016322640122681</v>
      </c>
      <c r="E6" s="89">
        <v>2203.6142717914781</v>
      </c>
      <c r="F6" s="111">
        <v>59.972084470702157</v>
      </c>
      <c r="G6" s="74"/>
      <c r="H6" s="16"/>
      <c r="I6" s="16"/>
      <c r="J6" s="16"/>
      <c r="K6" s="46"/>
      <c r="L6" s="46"/>
      <c r="M6" s="46"/>
      <c r="N6" s="50"/>
      <c r="O6" s="50"/>
      <c r="P6" s="50"/>
    </row>
    <row r="7" spans="1:16" x14ac:dyDescent="0.2">
      <c r="A7" s="87" t="s">
        <v>8</v>
      </c>
      <c r="B7" s="40">
        <v>49167.607161160558</v>
      </c>
      <c r="C7" s="88">
        <v>43191.861994986619</v>
      </c>
      <c r="D7" s="89">
        <v>89.792776301837293</v>
      </c>
      <c r="E7" s="89">
        <v>3878.3172021756609</v>
      </c>
      <c r="F7" s="111">
        <v>105.54967347527935</v>
      </c>
      <c r="G7" s="74"/>
      <c r="H7" s="16"/>
      <c r="I7" s="16"/>
      <c r="J7" s="16"/>
      <c r="K7" s="46"/>
      <c r="L7" s="46"/>
      <c r="M7" s="46"/>
      <c r="N7" s="50"/>
      <c r="O7" s="50"/>
      <c r="P7" s="50"/>
    </row>
    <row r="8" spans="1:16" x14ac:dyDescent="0.2">
      <c r="A8" s="87" t="s">
        <v>9</v>
      </c>
      <c r="B8" s="40">
        <v>0</v>
      </c>
      <c r="C8" s="88">
        <v>0</v>
      </c>
      <c r="D8" s="89">
        <v>0</v>
      </c>
      <c r="E8" s="89">
        <v>0</v>
      </c>
      <c r="F8" s="111">
        <v>0</v>
      </c>
      <c r="G8" s="74"/>
      <c r="H8" s="16"/>
      <c r="I8" s="16"/>
      <c r="J8" s="16"/>
      <c r="K8" s="46"/>
      <c r="L8" s="46"/>
      <c r="M8" s="46"/>
      <c r="N8" s="50"/>
      <c r="O8" s="50"/>
      <c r="P8" s="50"/>
    </row>
    <row r="9" spans="1:16" x14ac:dyDescent="0.2">
      <c r="A9" s="87" t="s">
        <v>10</v>
      </c>
      <c r="B9" s="40">
        <v>3529.6212720914104</v>
      </c>
      <c r="C9" s="88">
        <v>3100.6372626400321</v>
      </c>
      <c r="D9" s="89">
        <v>69.251889131951501</v>
      </c>
      <c r="E9" s="89">
        <v>214.72498795074506</v>
      </c>
      <c r="F9" s="111">
        <v>5.8438109065628465</v>
      </c>
      <c r="G9" s="74"/>
      <c r="H9" s="16"/>
      <c r="I9" s="16"/>
      <c r="J9" s="16"/>
      <c r="K9" s="46"/>
      <c r="L9" s="46"/>
      <c r="M9" s="46"/>
      <c r="N9" s="50"/>
      <c r="O9" s="50"/>
      <c r="P9" s="50"/>
    </row>
    <row r="10" spans="1:16" x14ac:dyDescent="0.2">
      <c r="A10" s="87" t="s">
        <v>11</v>
      </c>
      <c r="B10" s="40">
        <v>83427.411885796988</v>
      </c>
      <c r="C10" s="88">
        <v>73287.789844218947</v>
      </c>
      <c r="D10" s="89">
        <v>90.505996679862207</v>
      </c>
      <c r="E10" s="89">
        <v>6632.9844643153192</v>
      </c>
      <c r="F10" s="111">
        <v>180.51884564324311</v>
      </c>
      <c r="G10" s="74"/>
      <c r="H10" s="16"/>
      <c r="I10" s="16"/>
      <c r="J10" s="16"/>
      <c r="K10" s="46"/>
      <c r="L10" s="46"/>
      <c r="M10" s="46"/>
      <c r="N10" s="50"/>
      <c r="O10" s="50"/>
      <c r="P10" s="50"/>
    </row>
    <row r="11" spans="1:16" x14ac:dyDescent="0.2">
      <c r="A11" s="87" t="s">
        <v>12</v>
      </c>
      <c r="B11" s="40">
        <v>68353.166443248105</v>
      </c>
      <c r="C11" s="88">
        <v>60045.641884912824</v>
      </c>
      <c r="D11" s="89">
        <v>98.972154530798349</v>
      </c>
      <c r="E11" s="89">
        <v>5942.8465475345702</v>
      </c>
      <c r="F11" s="111">
        <v>161.7365160988073</v>
      </c>
      <c r="G11" s="74"/>
      <c r="H11" s="16"/>
      <c r="I11" s="16"/>
      <c r="J11" s="16"/>
      <c r="K11" s="46"/>
      <c r="L11" s="46"/>
      <c r="M11" s="46"/>
      <c r="N11" s="50"/>
      <c r="O11" s="50"/>
      <c r="P11" s="50"/>
    </row>
    <row r="12" spans="1:16" x14ac:dyDescent="0.2">
      <c r="A12" s="87" t="s">
        <v>13</v>
      </c>
      <c r="B12" s="40">
        <v>6118.9253555070354</v>
      </c>
      <c r="C12" s="88">
        <v>5375.2418466574409</v>
      </c>
      <c r="D12" s="89">
        <v>64.668961734020272</v>
      </c>
      <c r="E12" s="89">
        <v>347.61130929259451</v>
      </c>
      <c r="F12" s="111">
        <v>9.4603556850804154</v>
      </c>
      <c r="G12" s="74"/>
      <c r="H12" s="16"/>
      <c r="I12" s="16"/>
      <c r="J12" s="16"/>
      <c r="K12" s="46"/>
      <c r="L12" s="46"/>
      <c r="M12" s="46"/>
      <c r="N12" s="50"/>
      <c r="O12" s="50"/>
      <c r="P12" s="50"/>
    </row>
    <row r="13" spans="1:16" x14ac:dyDescent="0.2">
      <c r="A13" s="87" t="s">
        <v>14</v>
      </c>
      <c r="B13" s="40">
        <v>31344.478258285755</v>
      </c>
      <c r="C13" s="88">
        <v>27534.925073721668</v>
      </c>
      <c r="D13" s="89">
        <v>102.72754272671432</v>
      </c>
      <c r="E13" s="89">
        <v>2828.5951919876202</v>
      </c>
      <c r="F13" s="111">
        <v>76.981145002928983</v>
      </c>
      <c r="G13" s="74"/>
      <c r="H13" s="16"/>
      <c r="I13" s="16"/>
      <c r="J13" s="16"/>
      <c r="K13" s="46"/>
      <c r="L13" s="46"/>
      <c r="M13" s="46"/>
      <c r="N13" s="50"/>
      <c r="O13" s="50"/>
      <c r="P13" s="50"/>
    </row>
    <row r="14" spans="1:16" s="17" customFormat="1" ht="15" x14ac:dyDescent="0.25">
      <c r="A14" s="91" t="s">
        <v>15</v>
      </c>
      <c r="B14" s="92">
        <v>360860.44841256196</v>
      </c>
      <c r="C14" s="93">
        <v>317002.09929265274</v>
      </c>
      <c r="D14" s="94">
        <v>93.689107361959856</v>
      </c>
      <c r="E14" s="94">
        <v>29699.643714596001</v>
      </c>
      <c r="F14" s="112">
        <v>808.28553545057764</v>
      </c>
      <c r="G14" s="74"/>
      <c r="H14" s="16"/>
      <c r="I14" s="16"/>
      <c r="J14" s="16"/>
      <c r="K14" s="47"/>
      <c r="L14" s="46"/>
      <c r="M14" s="47"/>
      <c r="N14" s="50"/>
      <c r="O14" s="50"/>
      <c r="P14" s="50"/>
    </row>
    <row r="15" spans="1:16" x14ac:dyDescent="0.2">
      <c r="A15" s="87" t="s">
        <v>16</v>
      </c>
      <c r="B15" s="40">
        <v>62251.98169565908</v>
      </c>
      <c r="C15" s="88">
        <v>58083.881650001895</v>
      </c>
      <c r="D15" s="89">
        <v>103.45327510599033</v>
      </c>
      <c r="E15" s="89">
        <v>6008.9677875614298</v>
      </c>
      <c r="F15" s="111">
        <v>163.53602731225328</v>
      </c>
      <c r="G15" s="74"/>
      <c r="H15" s="16"/>
      <c r="I15" s="16"/>
      <c r="J15" s="16"/>
      <c r="K15" s="46"/>
      <c r="L15" s="46"/>
      <c r="M15" s="46"/>
      <c r="N15" s="50"/>
      <c r="O15" s="50"/>
      <c r="P15" s="50"/>
    </row>
    <row r="16" spans="1:16" x14ac:dyDescent="0.2">
      <c r="A16" s="87" t="s">
        <v>17</v>
      </c>
      <c r="B16" s="40">
        <v>20128.342905887293</v>
      </c>
      <c r="C16" s="88">
        <v>18780.643688933971</v>
      </c>
      <c r="D16" s="89">
        <v>100.73553416914552</v>
      </c>
      <c r="E16" s="89">
        <v>1891.8781740451552</v>
      </c>
      <c r="F16" s="111">
        <v>51.488084423175401</v>
      </c>
      <c r="G16" s="74"/>
      <c r="H16" s="16"/>
      <c r="I16" s="16"/>
      <c r="J16" s="16"/>
      <c r="K16" s="46"/>
      <c r="L16" s="46"/>
      <c r="M16" s="46"/>
      <c r="N16" s="50"/>
      <c r="O16" s="50"/>
      <c r="P16" s="50"/>
    </row>
    <row r="17" spans="1:16" x14ac:dyDescent="0.2">
      <c r="A17" s="87" t="s">
        <v>18</v>
      </c>
      <c r="B17" s="40">
        <v>25078.472838768372</v>
      </c>
      <c r="C17" s="88">
        <v>23399.336192238581</v>
      </c>
      <c r="D17" s="89">
        <v>100.28741249911306</v>
      </c>
      <c r="E17" s="89">
        <v>2346.6588809164564</v>
      </c>
      <c r="F17" s="111">
        <v>63.865090379829589</v>
      </c>
      <c r="G17" s="74"/>
      <c r="H17" s="16"/>
      <c r="I17" s="16"/>
      <c r="J17" s="16"/>
      <c r="K17" s="46"/>
      <c r="L17" s="46"/>
      <c r="M17" s="46"/>
      <c r="N17" s="50"/>
      <c r="O17" s="50"/>
      <c r="P17" s="50"/>
    </row>
    <row r="18" spans="1:16" x14ac:dyDescent="0.2">
      <c r="A18" s="87" t="s">
        <v>19</v>
      </c>
      <c r="B18" s="40">
        <v>4894.3999932393708</v>
      </c>
      <c r="C18" s="88">
        <v>4566.6939784329679</v>
      </c>
      <c r="D18" s="89">
        <v>67.123784229791838</v>
      </c>
      <c r="E18" s="89">
        <v>306.53378125182422</v>
      </c>
      <c r="F18" s="111">
        <v>8.3424172994726895</v>
      </c>
      <c r="G18" s="74"/>
      <c r="H18" s="16"/>
      <c r="I18" s="16"/>
      <c r="J18" s="16"/>
      <c r="K18" s="46"/>
      <c r="L18" s="46"/>
      <c r="M18" s="46"/>
      <c r="N18" s="50"/>
      <c r="O18" s="50"/>
      <c r="P18" s="50"/>
    </row>
    <row r="19" spans="1:16" x14ac:dyDescent="0.2">
      <c r="A19" s="87" t="s">
        <v>20</v>
      </c>
      <c r="B19" s="40">
        <v>127423.22875902055</v>
      </c>
      <c r="C19" s="88">
        <v>118891.56838225065</v>
      </c>
      <c r="D19" s="89">
        <v>103.90792185991747</v>
      </c>
      <c r="E19" s="89">
        <v>12353.775797265936</v>
      </c>
      <c r="F19" s="111">
        <v>336.21205631575077</v>
      </c>
      <c r="G19" s="74"/>
      <c r="H19" s="16"/>
      <c r="I19" s="16"/>
      <c r="J19" s="16"/>
      <c r="K19" s="46"/>
      <c r="L19" s="46"/>
      <c r="M19" s="46"/>
      <c r="N19" s="50"/>
      <c r="O19" s="50"/>
      <c r="P19" s="50"/>
    </row>
    <row r="20" spans="1:16" x14ac:dyDescent="0.2">
      <c r="A20" s="87" t="s">
        <v>21</v>
      </c>
      <c r="B20" s="40">
        <v>8956.1291235967565</v>
      </c>
      <c r="C20" s="88">
        <v>8356.4688205484708</v>
      </c>
      <c r="D20" s="89">
        <v>84.408677826396101</v>
      </c>
      <c r="E20" s="89">
        <v>705.3584844400001</v>
      </c>
      <c r="F20" s="111">
        <v>19.196562280644478</v>
      </c>
      <c r="G20" s="74"/>
      <c r="H20" s="16"/>
      <c r="I20" s="16"/>
      <c r="J20" s="16"/>
      <c r="K20" s="46"/>
      <c r="L20" s="46"/>
      <c r="M20" s="46"/>
      <c r="N20" s="50"/>
      <c r="O20" s="50"/>
      <c r="P20" s="50"/>
    </row>
    <row r="21" spans="1:16" x14ac:dyDescent="0.2">
      <c r="A21" s="87" t="s">
        <v>22</v>
      </c>
      <c r="B21" s="40">
        <v>67316.849739567202</v>
      </c>
      <c r="C21" s="88">
        <v>62809.629939806946</v>
      </c>
      <c r="D21" s="89">
        <v>105.34405263424796</v>
      </c>
      <c r="E21" s="89">
        <v>6616.6209623166596</v>
      </c>
      <c r="F21" s="111">
        <v>180.07350757447924</v>
      </c>
      <c r="G21" s="74"/>
      <c r="H21" s="16"/>
      <c r="I21" s="16"/>
      <c r="J21" s="16"/>
      <c r="K21" s="46"/>
      <c r="L21" s="46"/>
      <c r="M21" s="46"/>
      <c r="N21" s="50"/>
      <c r="O21" s="50"/>
      <c r="P21" s="50"/>
    </row>
    <row r="22" spans="1:16" x14ac:dyDescent="0.2">
      <c r="A22" s="87" t="s">
        <v>23</v>
      </c>
      <c r="B22" s="40">
        <v>59132.74419159528</v>
      </c>
      <c r="C22" s="88">
        <v>55173.493625568568</v>
      </c>
      <c r="D22" s="89">
        <v>96.760513084233196</v>
      </c>
      <c r="E22" s="89">
        <v>5338.6155518596843</v>
      </c>
      <c r="F22" s="111">
        <v>145.29217156160703</v>
      </c>
      <c r="G22" s="74"/>
      <c r="H22" s="16"/>
      <c r="I22" s="16"/>
      <c r="J22" s="16"/>
      <c r="K22" s="46"/>
      <c r="L22" s="46"/>
      <c r="M22" s="46"/>
      <c r="N22" s="50"/>
      <c r="O22" s="50"/>
      <c r="P22" s="50"/>
    </row>
    <row r="23" spans="1:16" x14ac:dyDescent="0.2">
      <c r="A23" s="87" t="s">
        <v>24</v>
      </c>
      <c r="B23" s="40">
        <v>10505.093622461862</v>
      </c>
      <c r="C23" s="88">
        <v>9801.721938304383</v>
      </c>
      <c r="D23" s="89">
        <v>93.096625426910236</v>
      </c>
      <c r="E23" s="89">
        <v>912.50723582905175</v>
      </c>
      <c r="F23" s="111">
        <v>24.834183426656121</v>
      </c>
      <c r="G23" s="74"/>
      <c r="H23" s="16"/>
      <c r="I23" s="16"/>
      <c r="J23" s="16"/>
      <c r="K23" s="46"/>
      <c r="L23" s="46"/>
      <c r="M23" s="46"/>
      <c r="N23" s="50"/>
      <c r="O23" s="50"/>
      <c r="P23" s="50"/>
    </row>
    <row r="24" spans="1:16" x14ac:dyDescent="0.2">
      <c r="A24" s="87" t="s">
        <v>25</v>
      </c>
      <c r="B24" s="40">
        <v>51469.877490860497</v>
      </c>
      <c r="C24" s="88">
        <v>48023.696455717887</v>
      </c>
      <c r="D24" s="89">
        <v>99.83901098687366</v>
      </c>
      <c r="E24" s="89">
        <v>4794.6383580727033</v>
      </c>
      <c r="F24" s="111">
        <v>130.48765398630272</v>
      </c>
      <c r="G24" s="74"/>
      <c r="H24" s="16"/>
      <c r="I24" s="16"/>
      <c r="J24" s="16"/>
      <c r="K24" s="46"/>
      <c r="L24" s="46"/>
      <c r="M24" s="46"/>
      <c r="N24" s="50"/>
      <c r="O24" s="50"/>
      <c r="P24" s="50"/>
    </row>
    <row r="25" spans="1:16" s="17" customFormat="1" ht="15" x14ac:dyDescent="0.25">
      <c r="A25" s="91" t="s">
        <v>26</v>
      </c>
      <c r="B25" s="92">
        <v>437157.12036065629</v>
      </c>
      <c r="C25" s="93">
        <v>407887.13467180438</v>
      </c>
      <c r="D25" s="94">
        <v>101.19356926216902</v>
      </c>
      <c r="E25" s="94">
        <v>41275.5550135589</v>
      </c>
      <c r="F25" s="112">
        <v>1123.3277545601713</v>
      </c>
      <c r="G25" s="74"/>
      <c r="H25" s="16"/>
      <c r="I25" s="16"/>
      <c r="J25" s="16"/>
      <c r="K25" s="47"/>
      <c r="L25" s="46"/>
      <c r="M25" s="47"/>
      <c r="N25" s="50"/>
      <c r="O25" s="50"/>
      <c r="P25" s="50"/>
    </row>
    <row r="26" spans="1:16" x14ac:dyDescent="0.2">
      <c r="A26" s="87" t="s">
        <v>27</v>
      </c>
      <c r="B26" s="40">
        <v>19939.840031444808</v>
      </c>
      <c r="C26" s="88">
        <v>18871.707986380748</v>
      </c>
      <c r="D26" s="89">
        <v>102.70484094028875</v>
      </c>
      <c r="E26" s="89">
        <v>1938.2157670128115</v>
      </c>
      <c r="F26" s="111">
        <v>52.749177199347194</v>
      </c>
      <c r="G26" s="74"/>
      <c r="H26" s="16"/>
      <c r="I26" s="16"/>
      <c r="J26" s="16"/>
      <c r="K26" s="46"/>
      <c r="L26" s="46"/>
      <c r="M26" s="46"/>
      <c r="N26" s="50"/>
      <c r="O26" s="50"/>
      <c r="P26" s="50"/>
    </row>
    <row r="27" spans="1:16" x14ac:dyDescent="0.2">
      <c r="A27" s="87" t="s">
        <v>28</v>
      </c>
      <c r="B27" s="118">
        <v>0</v>
      </c>
      <c r="C27" s="118">
        <v>0</v>
      </c>
      <c r="D27" s="118">
        <v>0</v>
      </c>
      <c r="E27" s="118">
        <v>0</v>
      </c>
      <c r="F27" s="97">
        <v>0</v>
      </c>
      <c r="G27" s="74"/>
      <c r="H27" s="16"/>
      <c r="I27" s="16"/>
      <c r="J27" s="16"/>
      <c r="K27" s="46"/>
      <c r="L27" s="46"/>
      <c r="M27" s="46"/>
      <c r="N27" s="50"/>
      <c r="O27" s="50"/>
      <c r="P27" s="50"/>
    </row>
    <row r="28" spans="1:16" x14ac:dyDescent="0.2">
      <c r="A28" s="87" t="s">
        <v>29</v>
      </c>
      <c r="B28" s="40">
        <v>8832.8409887238449</v>
      </c>
      <c r="C28" s="88">
        <v>8359.6857129476612</v>
      </c>
      <c r="D28" s="89">
        <v>88.208210397673852</v>
      </c>
      <c r="E28" s="89">
        <v>737.3929162261154</v>
      </c>
      <c r="F28" s="97">
        <v>20.068389838507404</v>
      </c>
      <c r="G28" s="74"/>
      <c r="H28" s="16"/>
      <c r="I28" s="16"/>
      <c r="J28" s="16"/>
      <c r="K28" s="46"/>
      <c r="L28" s="46"/>
      <c r="M28" s="46"/>
      <c r="N28" s="50"/>
      <c r="O28" s="50"/>
      <c r="P28" s="50"/>
    </row>
    <row r="29" spans="1:16" x14ac:dyDescent="0.2">
      <c r="A29" s="87" t="s">
        <v>30</v>
      </c>
      <c r="B29" s="40">
        <v>16774.345304269333</v>
      </c>
      <c r="C29" s="88">
        <v>15875.781638452319</v>
      </c>
      <c r="D29" s="89">
        <v>101.78482728753276</v>
      </c>
      <c r="E29" s="89">
        <v>1615.9136921244531</v>
      </c>
      <c r="F29" s="111">
        <v>43.977620621719311</v>
      </c>
      <c r="G29" s="74"/>
      <c r="H29" s="16"/>
      <c r="I29" s="16"/>
      <c r="J29" s="16"/>
      <c r="K29" s="46"/>
      <c r="L29" s="46"/>
      <c r="M29" s="46"/>
      <c r="N29" s="50"/>
      <c r="O29" s="50"/>
      <c r="P29" s="50"/>
    </row>
    <row r="30" spans="1:16" x14ac:dyDescent="0.2">
      <c r="A30" s="87" t="s">
        <v>31</v>
      </c>
      <c r="B30" s="118">
        <v>0</v>
      </c>
      <c r="C30" s="118">
        <v>0</v>
      </c>
      <c r="D30" s="118">
        <v>0</v>
      </c>
      <c r="E30" s="118">
        <v>0</v>
      </c>
      <c r="F30" s="97">
        <v>0</v>
      </c>
      <c r="G30" s="74"/>
      <c r="H30" s="16"/>
      <c r="I30" s="16"/>
      <c r="J30" s="16"/>
      <c r="K30" s="46"/>
      <c r="L30" s="46"/>
      <c r="M30" s="46"/>
      <c r="N30" s="50"/>
      <c r="O30" s="50"/>
      <c r="P30" s="50"/>
    </row>
    <row r="31" spans="1:16" x14ac:dyDescent="0.2">
      <c r="A31" s="87" t="s">
        <v>32</v>
      </c>
      <c r="B31" s="40">
        <v>13960.109421819909</v>
      </c>
      <c r="C31" s="88">
        <v>13212.297994921209</v>
      </c>
      <c r="D31" s="89">
        <v>89.035520375608286</v>
      </c>
      <c r="E31" s="89">
        <v>1176.3638273354159</v>
      </c>
      <c r="F31" s="97">
        <v>32.015127023062725</v>
      </c>
      <c r="G31" s="74"/>
      <c r="H31" s="16"/>
      <c r="I31" s="16"/>
      <c r="J31" s="16"/>
      <c r="K31" s="46"/>
      <c r="L31" s="46"/>
      <c r="M31" s="46"/>
      <c r="N31" s="50"/>
      <c r="O31" s="50"/>
      <c r="P31" s="50"/>
    </row>
    <row r="32" spans="1:16" x14ac:dyDescent="0.2">
      <c r="A32" s="87" t="s">
        <v>33</v>
      </c>
      <c r="B32" s="118">
        <v>16.660498564081443</v>
      </c>
      <c r="C32" s="118">
        <v>15.768033410149631</v>
      </c>
      <c r="D32" s="118">
        <v>0</v>
      </c>
      <c r="E32" s="118">
        <v>1.224790388185631</v>
      </c>
      <c r="F32" s="97">
        <v>3.333307174465578E-2</v>
      </c>
      <c r="G32" s="74"/>
      <c r="H32" s="16"/>
      <c r="I32" s="16"/>
      <c r="J32" s="16"/>
      <c r="K32" s="46"/>
      <c r="L32" s="46"/>
      <c r="M32" s="46"/>
      <c r="N32" s="50"/>
      <c r="O32" s="50"/>
      <c r="P32" s="50"/>
    </row>
    <row r="33" spans="1:16" x14ac:dyDescent="0.2">
      <c r="A33" s="87" t="s">
        <v>34</v>
      </c>
      <c r="B33" s="40">
        <v>7470.8452311101873</v>
      </c>
      <c r="C33" s="88">
        <v>7070.6489816679295</v>
      </c>
      <c r="D33" s="89">
        <v>88.245030712392889</v>
      </c>
      <c r="E33" s="89">
        <v>623.94963654383594</v>
      </c>
      <c r="F33" s="97">
        <v>16.980993809705978</v>
      </c>
      <c r="G33" s="74"/>
      <c r="H33" s="16"/>
      <c r="I33" s="16"/>
      <c r="J33" s="16"/>
      <c r="K33" s="46"/>
      <c r="L33" s="46"/>
      <c r="M33" s="46"/>
      <c r="N33" s="50"/>
      <c r="O33" s="50"/>
      <c r="P33" s="50"/>
    </row>
    <row r="34" spans="1:16" x14ac:dyDescent="0.2">
      <c r="A34" s="87" t="s">
        <v>35</v>
      </c>
      <c r="B34" s="40">
        <v>15424.844920578735</v>
      </c>
      <c r="C34" s="88">
        <v>14598.570932230197</v>
      </c>
      <c r="D34" s="89">
        <v>84.558045109271205</v>
      </c>
      <c r="E34" s="89">
        <v>1234.4266194184163</v>
      </c>
      <c r="F34" s="97">
        <v>33.595324935184451</v>
      </c>
      <c r="G34" s="74"/>
      <c r="H34" s="16"/>
      <c r="I34" s="16"/>
      <c r="J34" s="16"/>
      <c r="K34" s="46"/>
      <c r="L34" s="46"/>
      <c r="M34" s="46"/>
      <c r="N34" s="50"/>
      <c r="O34" s="50"/>
      <c r="P34" s="50"/>
    </row>
    <row r="35" spans="1:16" x14ac:dyDescent="0.2">
      <c r="A35" s="87" t="s">
        <v>36</v>
      </c>
      <c r="B35" s="40">
        <v>5334.1362902667424</v>
      </c>
      <c r="C35" s="88">
        <v>5048.3986968162399</v>
      </c>
      <c r="D35" s="89">
        <v>1.0299518092740942</v>
      </c>
      <c r="E35" s="89">
        <v>5.1996073717228652</v>
      </c>
      <c r="F35" s="97">
        <v>0.14150901839001931</v>
      </c>
      <c r="G35" s="74"/>
      <c r="H35" s="16"/>
      <c r="I35" s="16"/>
      <c r="J35" s="16"/>
      <c r="K35" s="46"/>
      <c r="L35" s="46"/>
      <c r="M35" s="46"/>
      <c r="N35" s="50"/>
      <c r="O35" s="50"/>
      <c r="P35" s="50"/>
    </row>
    <row r="36" spans="1:16" s="17" customFormat="1" ht="15" x14ac:dyDescent="0.25">
      <c r="A36" s="91" t="s">
        <v>37</v>
      </c>
      <c r="B36" s="92">
        <v>87753.622686777642</v>
      </c>
      <c r="C36" s="93">
        <v>83052.859976826439</v>
      </c>
      <c r="D36" s="94">
        <v>88.289396156459105</v>
      </c>
      <c r="E36" s="94">
        <v>7332.6868564209562</v>
      </c>
      <c r="F36" s="98">
        <v>199.56147551766173</v>
      </c>
      <c r="G36" s="74"/>
      <c r="H36" s="16"/>
      <c r="I36" s="16"/>
      <c r="J36" s="16"/>
      <c r="K36" s="47"/>
      <c r="L36" s="46"/>
      <c r="M36" s="47"/>
      <c r="N36" s="50"/>
      <c r="O36" s="50"/>
      <c r="P36" s="50"/>
    </row>
    <row r="37" spans="1:16" x14ac:dyDescent="0.2">
      <c r="A37" s="87" t="s">
        <v>38</v>
      </c>
      <c r="B37" s="40">
        <v>1913.0085977443778</v>
      </c>
      <c r="C37" s="88">
        <v>1732.3358089514402</v>
      </c>
      <c r="D37" s="89">
        <v>70.887955759056339</v>
      </c>
      <c r="E37" s="89">
        <v>122.80174418477877</v>
      </c>
      <c r="F37" s="97">
        <v>3.3420897067488262</v>
      </c>
      <c r="G37" s="74"/>
      <c r="H37" s="16"/>
      <c r="I37" s="16"/>
      <c r="J37" s="16"/>
      <c r="K37" s="46"/>
      <c r="L37" s="46"/>
      <c r="M37" s="46"/>
      <c r="N37" s="50"/>
      <c r="O37" s="50"/>
      <c r="P37" s="50"/>
    </row>
    <row r="38" spans="1:16" x14ac:dyDescent="0.2">
      <c r="A38" s="87" t="s">
        <v>39</v>
      </c>
      <c r="B38" s="40">
        <v>2610.3461500547774</v>
      </c>
      <c r="C38" s="88">
        <v>2363.813793011851</v>
      </c>
      <c r="D38" s="88">
        <v>99.146213807706559</v>
      </c>
      <c r="E38" s="89">
        <v>234.36318772355881</v>
      </c>
      <c r="F38" s="97">
        <v>6.3782709482788755</v>
      </c>
      <c r="G38" s="74"/>
      <c r="H38" s="16"/>
      <c r="I38" s="16"/>
      <c r="J38" s="16"/>
      <c r="K38" s="46"/>
      <c r="L38" s="46"/>
      <c r="M38" s="46"/>
      <c r="N38" s="50"/>
      <c r="O38" s="50"/>
      <c r="P38" s="50"/>
    </row>
    <row r="39" spans="1:16" x14ac:dyDescent="0.2">
      <c r="A39" s="87" t="s">
        <v>40</v>
      </c>
      <c r="B39" s="40">
        <v>1875.6512288706065</v>
      </c>
      <c r="C39" s="88">
        <v>1698.5066312339181</v>
      </c>
      <c r="D39" s="89">
        <v>75.4578338636437</v>
      </c>
      <c r="E39" s="89">
        <v>128.16563119594613</v>
      </c>
      <c r="F39" s="97">
        <v>3.4880696493562553</v>
      </c>
      <c r="G39" s="74"/>
      <c r="H39" s="16"/>
      <c r="I39" s="16"/>
      <c r="J39" s="16"/>
      <c r="K39" s="46"/>
      <c r="L39" s="46"/>
      <c r="M39" s="46"/>
      <c r="N39" s="50"/>
      <c r="O39" s="50"/>
      <c r="P39" s="50"/>
    </row>
    <row r="40" spans="1:16" x14ac:dyDescent="0.2">
      <c r="A40" s="87" t="s">
        <v>41</v>
      </c>
      <c r="B40" s="40">
        <v>8005.3728382419322</v>
      </c>
      <c r="C40" s="88">
        <v>7249.3108750506563</v>
      </c>
      <c r="D40" s="89">
        <v>78.956374625273398</v>
      </c>
      <c r="E40" s="89">
        <v>572.37930522556815</v>
      </c>
      <c r="F40" s="97">
        <v>15.577490344697601</v>
      </c>
      <c r="G40" s="74"/>
      <c r="H40" s="16"/>
      <c r="I40" s="16"/>
      <c r="J40" s="16"/>
      <c r="K40" s="46"/>
      <c r="L40" s="46"/>
      <c r="M40" s="46"/>
      <c r="N40" s="50"/>
      <c r="O40" s="50"/>
      <c r="P40" s="50"/>
    </row>
    <row r="41" spans="1:16" x14ac:dyDescent="0.2">
      <c r="A41" s="87" t="s">
        <v>42</v>
      </c>
      <c r="B41" s="40">
        <v>6999.8369927229178</v>
      </c>
      <c r="C41" s="88">
        <v>6338.742174820688</v>
      </c>
      <c r="D41" s="89">
        <v>102.6483991941124</v>
      </c>
      <c r="E41" s="89">
        <v>650.66173714955028</v>
      </c>
      <c r="F41" s="97">
        <v>17.707972380512487</v>
      </c>
      <c r="G41" s="74"/>
      <c r="H41" s="16"/>
      <c r="I41" s="16"/>
      <c r="J41" s="16"/>
      <c r="K41" s="46"/>
      <c r="L41" s="46"/>
      <c r="M41" s="46"/>
      <c r="N41" s="50"/>
      <c r="O41" s="50"/>
      <c r="P41" s="50"/>
    </row>
    <row r="42" spans="1:16" x14ac:dyDescent="0.2">
      <c r="A42" s="87" t="s">
        <v>43</v>
      </c>
      <c r="B42" s="40">
        <v>3629.8910089014553</v>
      </c>
      <c r="C42" s="88">
        <v>3287.0684348858895</v>
      </c>
      <c r="D42" s="89">
        <v>73.785487531889387</v>
      </c>
      <c r="E42" s="89">
        <v>242.53794701873997</v>
      </c>
      <c r="F42" s="97">
        <v>6.6007497011414156</v>
      </c>
      <c r="G42" s="74"/>
      <c r="H42" s="16"/>
      <c r="I42" s="16"/>
      <c r="J42" s="16"/>
      <c r="K42" s="46"/>
      <c r="L42" s="46"/>
      <c r="M42" s="46"/>
      <c r="N42" s="50"/>
      <c r="O42" s="50"/>
      <c r="P42" s="50"/>
    </row>
    <row r="43" spans="1:16" x14ac:dyDescent="0.2">
      <c r="A43" s="87" t="s">
        <v>44</v>
      </c>
      <c r="B43" s="40">
        <v>6170.1920923179123</v>
      </c>
      <c r="C43" s="88">
        <v>5587.4525196773875</v>
      </c>
      <c r="D43" s="89">
        <v>85.368681656151296</v>
      </c>
      <c r="E43" s="89">
        <v>476.99345542119931</v>
      </c>
      <c r="F43" s="97">
        <v>12.981533186947521</v>
      </c>
      <c r="G43" s="74"/>
      <c r="H43" s="16"/>
      <c r="I43" s="16"/>
      <c r="J43" s="16"/>
      <c r="K43" s="46"/>
      <c r="L43" s="46"/>
      <c r="M43" s="46"/>
      <c r="N43" s="50"/>
      <c r="O43" s="50"/>
      <c r="P43" s="50"/>
    </row>
    <row r="44" spans="1:16" x14ac:dyDescent="0.2">
      <c r="A44" s="87" t="s">
        <v>45</v>
      </c>
      <c r="B44" s="40">
        <v>8766.5292290450252</v>
      </c>
      <c r="C44" s="88">
        <v>7938.5803710451673</v>
      </c>
      <c r="D44" s="89">
        <v>94.482886828864679</v>
      </c>
      <c r="E44" s="89">
        <v>750.0599907793071</v>
      </c>
      <c r="F44" s="97">
        <v>20.413128423125073</v>
      </c>
      <c r="G44" s="74"/>
      <c r="H44" s="16"/>
      <c r="I44" s="16"/>
      <c r="J44" s="16"/>
      <c r="K44" s="46"/>
      <c r="L44" s="46"/>
      <c r="M44" s="46"/>
      <c r="N44" s="50"/>
      <c r="O44" s="50"/>
      <c r="P44" s="50"/>
    </row>
    <row r="45" spans="1:16" s="17" customFormat="1" ht="15" x14ac:dyDescent="0.25">
      <c r="A45" s="91" t="s">
        <v>46</v>
      </c>
      <c r="B45" s="92">
        <v>39970.828137899</v>
      </c>
      <c r="C45" s="93">
        <v>36195.810608676999</v>
      </c>
      <c r="D45" s="94">
        <v>87.799194029842084</v>
      </c>
      <c r="E45" s="94">
        <v>3177.9629986986488</v>
      </c>
      <c r="F45" s="98">
        <v>86.489304340808062</v>
      </c>
      <c r="G45" s="74"/>
      <c r="H45" s="16"/>
      <c r="I45" s="16"/>
      <c r="J45" s="16"/>
      <c r="K45" s="47"/>
      <c r="L45" s="46"/>
      <c r="M45" s="47"/>
      <c r="N45" s="50"/>
      <c r="O45" s="50"/>
      <c r="P45" s="50"/>
    </row>
    <row r="46" spans="1:16" x14ac:dyDescent="0.2">
      <c r="A46" s="87" t="s">
        <v>47</v>
      </c>
      <c r="B46" s="118">
        <v>625.03950661779038</v>
      </c>
      <c r="C46" s="118">
        <v>584.46456593369305</v>
      </c>
      <c r="D46" s="118">
        <v>101.92834727505722</v>
      </c>
      <c r="E46" s="118">
        <v>59.573507246455037</v>
      </c>
      <c r="F46" s="97">
        <v>1.6213125203150198</v>
      </c>
      <c r="G46" s="74"/>
      <c r="H46" s="16"/>
      <c r="I46" s="16"/>
      <c r="J46" s="16"/>
      <c r="K46" s="46"/>
      <c r="L46" s="46"/>
      <c r="M46" s="46"/>
      <c r="N46" s="50"/>
      <c r="O46" s="50"/>
      <c r="P46" s="50"/>
    </row>
    <row r="47" spans="1:16" x14ac:dyDescent="0.2">
      <c r="A47" s="87" t="s">
        <v>48</v>
      </c>
      <c r="B47" s="40">
        <v>0</v>
      </c>
      <c r="C47" s="40">
        <v>0</v>
      </c>
      <c r="D47" s="113">
        <v>0</v>
      </c>
      <c r="E47" s="113">
        <v>0</v>
      </c>
      <c r="F47" s="97">
        <v>0</v>
      </c>
      <c r="G47" s="74"/>
      <c r="H47" s="16"/>
      <c r="I47" s="16"/>
      <c r="J47" s="16"/>
      <c r="K47" s="46"/>
      <c r="L47" s="46"/>
      <c r="M47" s="46"/>
      <c r="N47" s="50"/>
      <c r="O47" s="50"/>
      <c r="P47" s="50"/>
    </row>
    <row r="48" spans="1:16" x14ac:dyDescent="0.2">
      <c r="A48" s="99" t="s">
        <v>49</v>
      </c>
      <c r="B48" s="118">
        <v>0</v>
      </c>
      <c r="C48" s="118">
        <v>0</v>
      </c>
      <c r="D48" s="118">
        <v>0</v>
      </c>
      <c r="E48" s="118">
        <v>0</v>
      </c>
      <c r="F48" s="97">
        <v>0</v>
      </c>
      <c r="G48" s="74"/>
      <c r="H48" s="16"/>
      <c r="I48" s="16"/>
      <c r="J48" s="16"/>
      <c r="K48" s="46"/>
      <c r="L48" s="46"/>
      <c r="M48" s="46"/>
      <c r="N48" s="50"/>
      <c r="O48" s="50"/>
      <c r="P48" s="50"/>
    </row>
    <row r="49" spans="1:16" x14ac:dyDescent="0.2">
      <c r="A49" s="87" t="s">
        <v>50</v>
      </c>
      <c r="B49" s="40">
        <v>0</v>
      </c>
      <c r="C49" s="40">
        <v>0</v>
      </c>
      <c r="D49" s="40">
        <v>0</v>
      </c>
      <c r="E49" s="113">
        <v>0</v>
      </c>
      <c r="F49" s="97">
        <v>0</v>
      </c>
      <c r="G49" s="74"/>
      <c r="H49" s="16"/>
      <c r="I49" s="16"/>
      <c r="J49" s="16"/>
      <c r="K49" s="46"/>
      <c r="L49" s="46"/>
      <c r="M49" s="46"/>
      <c r="N49" s="50"/>
      <c r="O49" s="50"/>
      <c r="P49" s="50"/>
    </row>
    <row r="50" spans="1:16" x14ac:dyDescent="0.2">
      <c r="A50" s="87" t="s">
        <v>51</v>
      </c>
      <c r="B50" s="40">
        <v>152.65387950088345</v>
      </c>
      <c r="C50" s="40">
        <v>142.74423052611351</v>
      </c>
      <c r="D50" s="113">
        <v>78.28537947054096</v>
      </c>
      <c r="E50" s="113">
        <v>11.174786253967174</v>
      </c>
      <c r="F50" s="97">
        <v>0.30412546957237052</v>
      </c>
      <c r="G50" s="74"/>
      <c r="H50" s="16"/>
      <c r="I50" s="16"/>
      <c r="J50" s="16"/>
      <c r="K50" s="46"/>
      <c r="L50" s="46"/>
      <c r="M50" s="46"/>
      <c r="N50" s="50"/>
      <c r="O50" s="50"/>
      <c r="P50" s="50"/>
    </row>
    <row r="51" spans="1:16" x14ac:dyDescent="0.2">
      <c r="A51" s="87" t="s">
        <v>52</v>
      </c>
      <c r="B51" s="40">
        <v>968.81123525757528</v>
      </c>
      <c r="C51" s="88">
        <v>905.92007719722437</v>
      </c>
      <c r="D51" s="89">
        <v>101.62523111776891</v>
      </c>
      <c r="E51" s="89">
        <v>92.064337219394972</v>
      </c>
      <c r="F51" s="97">
        <v>2.5055611043815329</v>
      </c>
      <c r="G51" s="74"/>
      <c r="H51" s="16"/>
      <c r="I51" s="16"/>
      <c r="J51" s="16"/>
      <c r="K51" s="46"/>
      <c r="L51" s="46"/>
      <c r="M51" s="46"/>
      <c r="N51" s="50"/>
      <c r="O51" s="50"/>
      <c r="P51" s="50"/>
    </row>
    <row r="52" spans="1:16" x14ac:dyDescent="0.2">
      <c r="A52" s="87" t="s">
        <v>53</v>
      </c>
      <c r="B52" s="118">
        <v>507.2435996013607</v>
      </c>
      <c r="C52" s="118">
        <v>474.315474661574</v>
      </c>
      <c r="D52" s="118">
        <v>86.467254158291297</v>
      </c>
      <c r="E52" s="118">
        <v>41.01275669877289</v>
      </c>
      <c r="F52" s="97">
        <v>1.1161756123114774</v>
      </c>
      <c r="G52" s="74"/>
      <c r="H52" s="16"/>
      <c r="I52" s="16"/>
      <c r="J52" s="16"/>
      <c r="K52" s="46"/>
      <c r="L52" s="46"/>
      <c r="M52" s="46"/>
      <c r="N52" s="50"/>
      <c r="O52" s="50"/>
      <c r="P52" s="50"/>
    </row>
    <row r="53" spans="1:16" x14ac:dyDescent="0.2">
      <c r="A53" s="87" t="s">
        <v>54</v>
      </c>
      <c r="B53" s="40">
        <v>0</v>
      </c>
      <c r="C53" s="40">
        <v>0</v>
      </c>
      <c r="D53" s="40">
        <v>0</v>
      </c>
      <c r="E53" s="113">
        <v>0</v>
      </c>
      <c r="F53" s="97">
        <v>0</v>
      </c>
      <c r="G53" s="74"/>
      <c r="H53" s="16"/>
      <c r="I53" s="16"/>
      <c r="J53" s="16"/>
      <c r="K53" s="46"/>
      <c r="L53" s="46"/>
      <c r="M53" s="46"/>
      <c r="N53" s="50"/>
      <c r="O53" s="50"/>
      <c r="P53" s="50"/>
    </row>
    <row r="54" spans="1:16" x14ac:dyDescent="0.2">
      <c r="A54" s="87" t="s">
        <v>55</v>
      </c>
      <c r="B54" s="118">
        <v>0</v>
      </c>
      <c r="C54" s="118">
        <v>0</v>
      </c>
      <c r="D54" s="118">
        <v>0</v>
      </c>
      <c r="E54" s="118">
        <v>0</v>
      </c>
      <c r="F54" s="97">
        <v>0</v>
      </c>
      <c r="G54" s="74"/>
      <c r="H54" s="16"/>
      <c r="I54" s="16"/>
      <c r="J54" s="16"/>
      <c r="K54" s="46"/>
      <c r="L54" s="46"/>
      <c r="M54" s="46"/>
      <c r="N54" s="50"/>
      <c r="O54" s="50"/>
      <c r="P54" s="50"/>
    </row>
    <row r="55" spans="1:16" x14ac:dyDescent="0.2">
      <c r="A55" s="87" t="s">
        <v>56</v>
      </c>
      <c r="B55" s="40">
        <v>2304.2321811275087</v>
      </c>
      <c r="C55" s="88">
        <v>2154.6511017209418</v>
      </c>
      <c r="D55" s="89">
        <v>84.156098076851478</v>
      </c>
      <c r="E55" s="89">
        <v>181.32702943782365</v>
      </c>
      <c r="F55" s="97">
        <v>4.9348745220396202</v>
      </c>
      <c r="G55" s="74"/>
      <c r="H55" s="16"/>
      <c r="I55" s="16"/>
      <c r="J55" s="16"/>
      <c r="K55" s="46"/>
      <c r="L55" s="46"/>
      <c r="M55" s="46"/>
      <c r="N55" s="50"/>
      <c r="O55" s="50"/>
      <c r="P55" s="50"/>
    </row>
    <row r="56" spans="1:16" s="17" customFormat="1" ht="15" x14ac:dyDescent="0.25">
      <c r="A56" s="91" t="s">
        <v>57</v>
      </c>
      <c r="B56" s="92">
        <v>4557.9804021051186</v>
      </c>
      <c r="C56" s="93">
        <v>4262.0954500395474</v>
      </c>
      <c r="D56" s="94">
        <v>90.366914906337897</v>
      </c>
      <c r="E56" s="94">
        <v>385.15241685641377</v>
      </c>
      <c r="F56" s="112">
        <v>10.482049228620022</v>
      </c>
      <c r="G56" s="74"/>
      <c r="H56" s="16"/>
      <c r="I56" s="16"/>
      <c r="J56" s="16"/>
      <c r="K56" s="47"/>
      <c r="L56" s="46"/>
      <c r="M56" s="47"/>
      <c r="N56" s="50"/>
      <c r="O56" s="50"/>
      <c r="P56" s="50"/>
    </row>
    <row r="57" spans="1:16" s="17" customFormat="1" ht="15" x14ac:dyDescent="0.25">
      <c r="A57" s="100" t="s">
        <v>0</v>
      </c>
      <c r="B57" s="101">
        <v>930300</v>
      </c>
      <c r="C57" s="102">
        <v>848400</v>
      </c>
      <c r="D57" s="103">
        <v>96.500471475718996</v>
      </c>
      <c r="E57" s="103">
        <v>81871</v>
      </c>
      <c r="F57" s="114">
        <v>2228.146091878948</v>
      </c>
      <c r="G57" s="74"/>
      <c r="H57" s="16"/>
      <c r="I57" s="115"/>
      <c r="J57" s="115"/>
      <c r="K57" s="116"/>
      <c r="L57" s="46"/>
      <c r="M57" s="47"/>
      <c r="N57" s="50"/>
      <c r="O57" s="50"/>
      <c r="P57" s="50"/>
    </row>
    <row r="58" spans="1:16" s="22" customFormat="1" x14ac:dyDescent="0.2">
      <c r="A58" s="1" t="s">
        <v>155</v>
      </c>
      <c r="B58" s="20"/>
      <c r="C58" s="16"/>
      <c r="D58" s="20"/>
      <c r="E58" s="15"/>
      <c r="F58" s="21"/>
      <c r="G58" s="20"/>
      <c r="H58" s="117"/>
      <c r="I58" s="117"/>
      <c r="J58" s="117"/>
      <c r="K58" s="117"/>
      <c r="L58" s="40"/>
      <c r="M58" s="40"/>
      <c r="N58" s="40"/>
    </row>
    <row r="59" spans="1:16" ht="171" x14ac:dyDescent="0.2">
      <c r="A59" s="105" t="s">
        <v>58</v>
      </c>
      <c r="B59" s="119"/>
      <c r="C59" s="119"/>
      <c r="D59" s="119"/>
      <c r="E59" s="119"/>
      <c r="F59" s="119"/>
      <c r="G59" s="3"/>
      <c r="H59" s="3"/>
      <c r="I59" s="3"/>
      <c r="J59" s="3"/>
    </row>
    <row r="60" spans="1:16" ht="15" x14ac:dyDescent="0.2">
      <c r="A60"/>
      <c r="B60" s="6"/>
      <c r="C60" s="6"/>
      <c r="D60" s="8"/>
      <c r="E60" s="12"/>
      <c r="F60" s="14"/>
      <c r="G60" s="3"/>
      <c r="H60" s="3"/>
      <c r="I60" s="3"/>
      <c r="J60" s="3"/>
    </row>
    <row r="61" spans="1:16" ht="15" x14ac:dyDescent="0.25">
      <c r="A61" s="17" t="s">
        <v>60</v>
      </c>
      <c r="B61" s="6"/>
      <c r="C61" s="6"/>
      <c r="D61" s="8"/>
      <c r="E61" s="6"/>
      <c r="F61" s="7"/>
      <c r="G61" s="3"/>
      <c r="H61" s="3"/>
      <c r="I61" s="3"/>
      <c r="J61" s="3"/>
    </row>
    <row r="62" spans="1:16" x14ac:dyDescent="0.2">
      <c r="A62" s="41" t="s">
        <v>160</v>
      </c>
      <c r="B62" s="6"/>
      <c r="C62" s="6"/>
      <c r="D62" s="8"/>
      <c r="E62" s="6"/>
      <c r="F62" s="7"/>
      <c r="G62" s="3"/>
      <c r="H62" s="3"/>
      <c r="I62" s="3"/>
      <c r="J62" s="3"/>
    </row>
    <row r="63" spans="1:16" x14ac:dyDescent="0.2">
      <c r="A63" s="3"/>
      <c r="B63" s="6"/>
      <c r="C63" s="6"/>
      <c r="D63" s="8"/>
      <c r="E63" s="6"/>
      <c r="F63" s="7"/>
      <c r="G63" s="3"/>
      <c r="H63" s="3"/>
      <c r="I63" s="3"/>
      <c r="J63" s="3"/>
    </row>
    <row r="64" spans="1:16" x14ac:dyDescent="0.2">
      <c r="A64" s="3"/>
      <c r="B64" s="6"/>
      <c r="C64" s="6"/>
      <c r="D64" s="8"/>
      <c r="E64" s="6"/>
      <c r="F64" s="7"/>
      <c r="G64" s="3"/>
      <c r="H64" s="3"/>
      <c r="I64" s="3"/>
      <c r="J64" s="3"/>
    </row>
    <row r="65" spans="1:10" x14ac:dyDescent="0.2">
      <c r="A65" s="3"/>
      <c r="B65" s="6"/>
      <c r="C65" s="6"/>
      <c r="D65" s="8"/>
      <c r="E65" s="6"/>
      <c r="F65" s="7"/>
      <c r="G65" s="3"/>
      <c r="H65" s="3"/>
      <c r="I65" s="3"/>
      <c r="J65" s="3"/>
    </row>
    <row r="66" spans="1:10" x14ac:dyDescent="0.2">
      <c r="A66" s="3"/>
      <c r="B66" s="6"/>
      <c r="C66" s="6"/>
      <c r="D66" s="8"/>
      <c r="E66" s="6"/>
      <c r="F66" s="7"/>
      <c r="G66" s="3"/>
      <c r="H66" s="3"/>
      <c r="I66" s="3"/>
      <c r="J66" s="3"/>
    </row>
    <row r="67" spans="1:10" x14ac:dyDescent="0.2">
      <c r="A67" s="3"/>
      <c r="B67" s="6"/>
      <c r="C67" s="6"/>
      <c r="D67" s="8"/>
      <c r="E67" s="6"/>
      <c r="F67" s="7"/>
      <c r="G67" s="3"/>
      <c r="H67" s="3"/>
      <c r="I67" s="3"/>
      <c r="J67" s="3"/>
    </row>
    <row r="68" spans="1:10" x14ac:dyDescent="0.2">
      <c r="A68" s="3"/>
      <c r="B68" s="6"/>
      <c r="C68" s="6"/>
      <c r="D68" s="8"/>
      <c r="E68" s="6"/>
      <c r="F68" s="7"/>
      <c r="G68" s="3"/>
      <c r="H68" s="3"/>
      <c r="I68" s="3"/>
      <c r="J68" s="3"/>
    </row>
    <row r="69" spans="1:10" x14ac:dyDescent="0.2">
      <c r="A69" s="3"/>
      <c r="B69" s="6"/>
      <c r="C69" s="6"/>
      <c r="D69" s="8"/>
      <c r="E69" s="6"/>
      <c r="F69" s="7"/>
      <c r="G69" s="3"/>
      <c r="H69" s="3"/>
      <c r="I69" s="3"/>
      <c r="J69" s="3"/>
    </row>
    <row r="70" spans="1:10" x14ac:dyDescent="0.2">
      <c r="A70" s="3"/>
      <c r="B70" s="3"/>
      <c r="C70" s="3"/>
      <c r="D70" s="3"/>
      <c r="E70" s="6"/>
      <c r="F70" s="7"/>
      <c r="G70" s="3"/>
      <c r="H70" s="3"/>
      <c r="I70" s="3"/>
      <c r="J70" s="3"/>
    </row>
    <row r="71" spans="1:10" x14ac:dyDescent="0.2">
      <c r="A71" s="3"/>
      <c r="B71" s="3"/>
      <c r="C71" s="3"/>
      <c r="D71" s="3"/>
      <c r="E71" s="6"/>
      <c r="F71" s="7"/>
      <c r="G71" s="3"/>
      <c r="H71" s="3"/>
      <c r="I71" s="3"/>
      <c r="J71" s="3"/>
    </row>
    <row r="72" spans="1:10" x14ac:dyDescent="0.2">
      <c r="A72" s="3"/>
      <c r="B72" s="3"/>
      <c r="C72" s="3"/>
      <c r="D72" s="3"/>
      <c r="E72" s="6"/>
      <c r="F72" s="7"/>
      <c r="G72" s="3"/>
      <c r="H72" s="3"/>
      <c r="I72" s="3"/>
      <c r="J72" s="3"/>
    </row>
    <row r="73" spans="1:10" x14ac:dyDescent="0.2">
      <c r="A73" s="3"/>
      <c r="B73" s="3"/>
      <c r="C73" s="3"/>
      <c r="D73" s="3"/>
      <c r="E73" s="6"/>
      <c r="F73" s="7"/>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E80" s="3"/>
      <c r="F80" s="3"/>
      <c r="G80" s="3"/>
      <c r="H80" s="3"/>
      <c r="I80" s="3"/>
      <c r="J80" s="3"/>
    </row>
    <row r="81" spans="1:10" x14ac:dyDescent="0.2">
      <c r="A81" s="3"/>
      <c r="E81" s="3"/>
      <c r="F81" s="3"/>
      <c r="G81" s="3"/>
      <c r="H81" s="3"/>
      <c r="I81" s="3"/>
      <c r="J81" s="3"/>
    </row>
    <row r="82" spans="1:10" x14ac:dyDescent="0.2">
      <c r="A82" s="3"/>
      <c r="E82" s="3"/>
      <c r="F82" s="3"/>
      <c r="G82" s="3"/>
      <c r="H82" s="3"/>
      <c r="I82" s="3"/>
      <c r="J82" s="3"/>
    </row>
    <row r="83" spans="1:10" x14ac:dyDescent="0.2">
      <c r="A83" s="3"/>
      <c r="E83" s="3"/>
      <c r="F83" s="3"/>
      <c r="G83" s="3"/>
      <c r="H83" s="3"/>
      <c r="I83" s="3"/>
      <c r="J83" s="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1E13-F2F4-4146-B3FF-AA8A8617EDC9}">
  <dimension ref="A1:P83"/>
  <sheetViews>
    <sheetView workbookViewId="0">
      <selection sqref="A1:XFD1048576"/>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7" width="9.77734375" style="1"/>
    <col min="8" max="9" width="11.21875" style="1" bestFit="1" customWidth="1"/>
    <col min="10" max="10" width="9.88671875" style="1" bestFit="1" customWidth="1"/>
    <col min="11" max="11" width="10.33203125" style="1" bestFit="1" customWidth="1"/>
    <col min="12" max="12" width="10.21875" style="1" bestFit="1" customWidth="1"/>
    <col min="13" max="13" width="9.88671875" style="1" bestFit="1" customWidth="1"/>
    <col min="14" max="14" width="12.44140625" style="1" bestFit="1" customWidth="1"/>
    <col min="15" max="16384" width="9.77734375" style="1"/>
  </cols>
  <sheetData>
    <row r="1" spans="1:16" ht="18" x14ac:dyDescent="0.25">
      <c r="A1" s="106" t="s">
        <v>156</v>
      </c>
    </row>
    <row r="2" spans="1:16" ht="15" x14ac:dyDescent="0.25">
      <c r="A2" s="80" t="s">
        <v>157</v>
      </c>
      <c r="B2" s="81"/>
      <c r="C2" s="81"/>
      <c r="D2" s="81"/>
      <c r="E2" s="81"/>
      <c r="F2" s="81"/>
      <c r="G2" s="3"/>
      <c r="H2" s="3"/>
      <c r="I2" s="3"/>
      <c r="J2" s="3"/>
    </row>
    <row r="3" spans="1:16" ht="47.25" customHeight="1" thickBot="1" x14ac:dyDescent="0.3">
      <c r="A3" s="82"/>
      <c r="B3" s="83" t="s">
        <v>59</v>
      </c>
      <c r="C3" s="84" t="s">
        <v>2</v>
      </c>
      <c r="D3" s="85" t="s">
        <v>3</v>
      </c>
      <c r="E3" s="84" t="s">
        <v>4</v>
      </c>
      <c r="F3" s="86" t="s">
        <v>1</v>
      </c>
      <c r="G3" s="3"/>
      <c r="H3" s="3"/>
      <c r="I3" s="3"/>
      <c r="J3" s="3"/>
    </row>
    <row r="4" spans="1:16" x14ac:dyDescent="0.2">
      <c r="A4" s="87" t="s">
        <v>5</v>
      </c>
      <c r="B4" s="40">
        <v>11602.208553212988</v>
      </c>
      <c r="C4" s="88">
        <v>11622.779499176899</v>
      </c>
      <c r="D4" s="89">
        <v>88.653271056761909</v>
      </c>
      <c r="E4" s="89">
        <v>1030.397421373505</v>
      </c>
      <c r="F4" s="111">
        <v>28.042603455625571</v>
      </c>
      <c r="G4" s="74"/>
      <c r="H4" s="16"/>
      <c r="I4" s="16"/>
      <c r="J4" s="16"/>
      <c r="K4" s="46"/>
      <c r="L4" s="46"/>
      <c r="M4" s="46"/>
      <c r="N4" s="50"/>
      <c r="O4" s="50"/>
      <c r="P4" s="50"/>
    </row>
    <row r="5" spans="1:16" x14ac:dyDescent="0.2">
      <c r="A5" s="87" t="s">
        <v>6</v>
      </c>
      <c r="B5" s="40">
        <v>80876.764137141043</v>
      </c>
      <c r="C5" s="88">
        <v>81020.160244629602</v>
      </c>
      <c r="D5" s="89">
        <v>98.628785077921336</v>
      </c>
      <c r="E5" s="89">
        <v>7990.9199717463189</v>
      </c>
      <c r="F5" s="111">
        <v>217.47550543616171</v>
      </c>
      <c r="G5" s="74"/>
      <c r="H5" s="16"/>
      <c r="I5" s="16"/>
      <c r="J5" s="16"/>
      <c r="K5" s="46"/>
      <c r="L5" s="46"/>
      <c r="M5" s="46"/>
      <c r="N5" s="50"/>
      <c r="O5" s="50"/>
      <c r="P5" s="50"/>
    </row>
    <row r="6" spans="1:16" x14ac:dyDescent="0.2">
      <c r="A6" s="87" t="s">
        <v>7</v>
      </c>
      <c r="B6" s="40">
        <v>29739.995332068323</v>
      </c>
      <c r="C6" s="88">
        <v>29792.724933862421</v>
      </c>
      <c r="D6" s="89">
        <v>98.105498265880911</v>
      </c>
      <c r="E6" s="89">
        <v>2922.8301243349065</v>
      </c>
      <c r="F6" s="111">
        <v>79.545779564960512</v>
      </c>
      <c r="G6" s="74"/>
      <c r="H6" s="16"/>
      <c r="I6" s="16"/>
      <c r="J6" s="16"/>
      <c r="K6" s="46"/>
      <c r="L6" s="46"/>
      <c r="M6" s="46"/>
      <c r="N6" s="50"/>
      <c r="O6" s="50"/>
      <c r="P6" s="50"/>
    </row>
    <row r="7" spans="1:16" x14ac:dyDescent="0.2">
      <c r="A7" s="87" t="s">
        <v>8</v>
      </c>
      <c r="B7" s="40">
        <v>68763.38162376282</v>
      </c>
      <c r="C7" s="88">
        <v>68885.300463713909</v>
      </c>
      <c r="D7" s="89">
        <v>91.367583396807248</v>
      </c>
      <c r="E7" s="89">
        <v>6293.8834349325061</v>
      </c>
      <c r="F7" s="111">
        <v>171.29010001449245</v>
      </c>
      <c r="G7" s="74"/>
      <c r="H7" s="16"/>
      <c r="I7" s="16"/>
      <c r="J7" s="16"/>
      <c r="K7" s="46"/>
      <c r="L7" s="46"/>
      <c r="M7" s="46"/>
      <c r="N7" s="50"/>
      <c r="O7" s="50"/>
      <c r="P7" s="50"/>
    </row>
    <row r="8" spans="1:16" x14ac:dyDescent="0.2">
      <c r="A8" s="87" t="s">
        <v>9</v>
      </c>
      <c r="B8" s="40">
        <v>37314.12937851352</v>
      </c>
      <c r="C8" s="88">
        <v>37380.288070250128</v>
      </c>
      <c r="D8" s="89">
        <v>89.879503738108596</v>
      </c>
      <c r="E8" s="89">
        <v>3359.7217413416224</v>
      </c>
      <c r="F8" s="111">
        <v>91.435928079186411</v>
      </c>
      <c r="G8" s="74"/>
      <c r="H8" s="16"/>
      <c r="I8" s="16"/>
      <c r="J8" s="16"/>
      <c r="K8" s="46"/>
      <c r="L8" s="46"/>
      <c r="M8" s="46"/>
      <c r="N8" s="50"/>
      <c r="O8" s="50"/>
      <c r="P8" s="50"/>
    </row>
    <row r="9" spans="1:16" x14ac:dyDescent="0.2">
      <c r="A9" s="87" t="s">
        <v>10</v>
      </c>
      <c r="B9" s="40">
        <v>5074.8557664935215</v>
      </c>
      <c r="C9" s="88">
        <v>5083.8535864575724</v>
      </c>
      <c r="D9" s="89">
        <v>97.300490349883319</v>
      </c>
      <c r="E9" s="89">
        <v>494.66144682933469</v>
      </c>
      <c r="F9" s="111">
        <v>13.462373362435638</v>
      </c>
      <c r="G9" s="74"/>
      <c r="H9" s="16"/>
      <c r="I9" s="16"/>
      <c r="J9" s="16"/>
      <c r="K9" s="46"/>
      <c r="L9" s="46"/>
      <c r="M9" s="46"/>
      <c r="N9" s="50"/>
      <c r="O9" s="50"/>
      <c r="P9" s="50"/>
    </row>
    <row r="10" spans="1:16" x14ac:dyDescent="0.2">
      <c r="A10" s="87" t="s">
        <v>11</v>
      </c>
      <c r="B10" s="40">
        <v>93666.904932107311</v>
      </c>
      <c r="C10" s="88">
        <v>93832.97821299413</v>
      </c>
      <c r="D10" s="89">
        <v>94.188062559819372</v>
      </c>
      <c r="E10" s="89">
        <v>8837.9464220996597</v>
      </c>
      <c r="F10" s="111">
        <v>240.52760782984072</v>
      </c>
      <c r="G10" s="74"/>
      <c r="H10" s="16"/>
      <c r="I10" s="16"/>
      <c r="J10" s="16"/>
      <c r="K10" s="46"/>
      <c r="L10" s="46"/>
      <c r="M10" s="46"/>
      <c r="N10" s="50"/>
      <c r="O10" s="50"/>
      <c r="P10" s="50"/>
    </row>
    <row r="11" spans="1:16" x14ac:dyDescent="0.2">
      <c r="A11" s="87" t="s">
        <v>12</v>
      </c>
      <c r="B11" s="40">
        <v>108618.2085035674</v>
      </c>
      <c r="C11" s="88">
        <v>108810.79074233478</v>
      </c>
      <c r="D11" s="89">
        <v>96.480436435505638</v>
      </c>
      <c r="E11" s="89">
        <v>10498.112579712937</v>
      </c>
      <c r="F11" s="111">
        <v>285.70957380015636</v>
      </c>
      <c r="G11" s="74"/>
      <c r="H11" s="16"/>
      <c r="I11" s="16"/>
      <c r="J11" s="16"/>
      <c r="K11" s="46"/>
      <c r="L11" s="46"/>
      <c r="M11" s="46"/>
      <c r="N11" s="50"/>
      <c r="O11" s="50"/>
      <c r="P11" s="50"/>
    </row>
    <row r="12" spans="1:16" x14ac:dyDescent="0.2">
      <c r="A12" s="87" t="s">
        <v>13</v>
      </c>
      <c r="B12" s="40">
        <v>21059.756534787615</v>
      </c>
      <c r="C12" s="88">
        <v>21097.09590096978</v>
      </c>
      <c r="D12" s="89">
        <v>88.886827433091625</v>
      </c>
      <c r="E12" s="89">
        <v>1875.2539226888853</v>
      </c>
      <c r="F12" s="111">
        <v>51.035649975203761</v>
      </c>
      <c r="G12" s="74"/>
      <c r="H12" s="16"/>
      <c r="I12" s="16"/>
      <c r="J12" s="16"/>
      <c r="K12" s="46"/>
      <c r="L12" s="46"/>
      <c r="M12" s="46"/>
      <c r="N12" s="50"/>
      <c r="O12" s="50"/>
      <c r="P12" s="50"/>
    </row>
    <row r="13" spans="1:16" x14ac:dyDescent="0.2">
      <c r="A13" s="87" t="s">
        <v>14</v>
      </c>
      <c r="B13" s="40">
        <v>39837.905448426784</v>
      </c>
      <c r="C13" s="88">
        <v>39908.538845209507</v>
      </c>
      <c r="D13" s="89">
        <v>99.547274252573999</v>
      </c>
      <c r="E13" s="89">
        <v>3972.7862614435735</v>
      </c>
      <c r="F13" s="111">
        <v>108.12067987817268</v>
      </c>
      <c r="G13" s="74"/>
      <c r="H13" s="16"/>
      <c r="I13" s="16"/>
      <c r="J13" s="16"/>
      <c r="K13" s="46"/>
      <c r="L13" s="46"/>
      <c r="M13" s="46"/>
      <c r="N13" s="50"/>
      <c r="O13" s="50"/>
      <c r="P13" s="50"/>
    </row>
    <row r="14" spans="1:16" s="17" customFormat="1" ht="15" x14ac:dyDescent="0.25">
      <c r="A14" s="91" t="s">
        <v>15</v>
      </c>
      <c r="B14" s="92">
        <v>496554.11021008127</v>
      </c>
      <c r="C14" s="93">
        <v>497434.51049959875</v>
      </c>
      <c r="D14" s="94">
        <v>95.040678377985955</v>
      </c>
      <c r="E14" s="94">
        <v>47276.513326503242</v>
      </c>
      <c r="F14" s="112">
        <v>1286.6458013962356</v>
      </c>
      <c r="G14" s="74"/>
      <c r="H14" s="16"/>
      <c r="I14" s="16"/>
      <c r="J14" s="16"/>
      <c r="K14" s="47"/>
      <c r="L14" s="46"/>
      <c r="M14" s="47"/>
      <c r="N14" s="50"/>
      <c r="O14" s="50"/>
      <c r="P14" s="50"/>
    </row>
    <row r="15" spans="1:16" x14ac:dyDescent="0.2">
      <c r="A15" s="87" t="s">
        <v>16</v>
      </c>
      <c r="B15" s="40">
        <v>61707.447470197018</v>
      </c>
      <c r="C15" s="88">
        <v>61261.601328602577</v>
      </c>
      <c r="D15" s="89">
        <v>89.38196237529732</v>
      </c>
      <c r="E15" s="89">
        <v>5475.6821450036196</v>
      </c>
      <c r="F15" s="111">
        <v>149.02248380697867</v>
      </c>
      <c r="G15" s="74"/>
      <c r="H15" s="16"/>
      <c r="I15" s="16"/>
      <c r="J15" s="16"/>
      <c r="K15" s="46"/>
      <c r="L15" s="46"/>
      <c r="M15" s="46"/>
      <c r="N15" s="50"/>
      <c r="O15" s="50"/>
      <c r="P15" s="50"/>
    </row>
    <row r="16" spans="1:16" x14ac:dyDescent="0.2">
      <c r="A16" s="87" t="s">
        <v>17</v>
      </c>
      <c r="B16" s="40">
        <v>26912.618640349006</v>
      </c>
      <c r="C16" s="88">
        <v>26718.170681910971</v>
      </c>
      <c r="D16" s="89">
        <v>93.764584356088804</v>
      </c>
      <c r="E16" s="89">
        <v>2505.2181687444204</v>
      </c>
      <c r="F16" s="111">
        <v>68.180333353593028</v>
      </c>
      <c r="G16" s="74"/>
      <c r="H16" s="16"/>
      <c r="I16" s="16"/>
      <c r="J16" s="16"/>
      <c r="K16" s="46"/>
      <c r="L16" s="46"/>
      <c r="M16" s="46"/>
      <c r="N16" s="50"/>
      <c r="O16" s="50"/>
      <c r="P16" s="50"/>
    </row>
    <row r="17" spans="1:16" x14ac:dyDescent="0.2">
      <c r="A17" s="87" t="s">
        <v>18</v>
      </c>
      <c r="B17" s="40">
        <v>40368.623633164745</v>
      </c>
      <c r="C17" s="88">
        <v>40076.953894321356</v>
      </c>
      <c r="D17" s="89">
        <v>84.884322999918069</v>
      </c>
      <c r="E17" s="89">
        <v>3401.9050992183984</v>
      </c>
      <c r="F17" s="111">
        <v>92.583961986131101</v>
      </c>
      <c r="G17" s="74"/>
      <c r="H17" s="16"/>
      <c r="I17" s="16"/>
      <c r="J17" s="16"/>
      <c r="K17" s="46"/>
      <c r="L17" s="46"/>
      <c r="M17" s="46"/>
      <c r="N17" s="50"/>
      <c r="O17" s="50"/>
      <c r="P17" s="50"/>
    </row>
    <row r="18" spans="1:16" x14ac:dyDescent="0.2">
      <c r="A18" s="87" t="s">
        <v>19</v>
      </c>
      <c r="B18" s="40">
        <v>5764.779185853401</v>
      </c>
      <c r="C18" s="88">
        <v>5723.1277375675518</v>
      </c>
      <c r="D18" s="89">
        <v>79.58913481632824</v>
      </c>
      <c r="E18" s="89">
        <v>455.4987850763315</v>
      </c>
      <c r="F18" s="111">
        <v>12.396548690298605</v>
      </c>
      <c r="G18" s="74"/>
      <c r="H18" s="16"/>
      <c r="I18" s="16"/>
      <c r="J18" s="16"/>
      <c r="K18" s="46"/>
      <c r="L18" s="46"/>
      <c r="M18" s="46"/>
      <c r="N18" s="50"/>
      <c r="O18" s="50"/>
      <c r="P18" s="50"/>
    </row>
    <row r="19" spans="1:16" x14ac:dyDescent="0.2">
      <c r="A19" s="87" t="s">
        <v>20</v>
      </c>
      <c r="B19" s="40">
        <v>99084.724129170427</v>
      </c>
      <c r="C19" s="88">
        <v>98368.82120731847</v>
      </c>
      <c r="D19" s="89">
        <v>95.320978793854081</v>
      </c>
      <c r="E19" s="89">
        <v>9376.6123202792278</v>
      </c>
      <c r="F19" s="111">
        <v>255.18757675482354</v>
      </c>
      <c r="G19" s="74"/>
      <c r="H19" s="16"/>
      <c r="I19" s="16"/>
      <c r="J19" s="16"/>
      <c r="K19" s="46"/>
      <c r="L19" s="46"/>
      <c r="M19" s="46"/>
      <c r="N19" s="50"/>
      <c r="O19" s="50"/>
      <c r="P19" s="50"/>
    </row>
    <row r="20" spans="1:16" x14ac:dyDescent="0.2">
      <c r="A20" s="87" t="s">
        <v>21</v>
      </c>
      <c r="B20" s="40">
        <v>10151.546383554565</v>
      </c>
      <c r="C20" s="88">
        <v>10078.199843195547</v>
      </c>
      <c r="D20" s="89">
        <v>85.377583589365088</v>
      </c>
      <c r="E20" s="89">
        <v>860.45234954275395</v>
      </c>
      <c r="F20" s="111">
        <v>23.41749263941745</v>
      </c>
      <c r="G20" s="74"/>
      <c r="H20" s="16"/>
      <c r="I20" s="16"/>
      <c r="J20" s="16"/>
      <c r="K20" s="46"/>
      <c r="L20" s="46"/>
      <c r="M20" s="46"/>
      <c r="N20" s="50"/>
      <c r="O20" s="50"/>
      <c r="P20" s="50"/>
    </row>
    <row r="21" spans="1:16" x14ac:dyDescent="0.2">
      <c r="A21" s="87" t="s">
        <v>22</v>
      </c>
      <c r="B21" s="40">
        <v>62254.909135304435</v>
      </c>
      <c r="C21" s="88">
        <v>61805.107495936783</v>
      </c>
      <c r="D21" s="89">
        <v>98.709525138546226</v>
      </c>
      <c r="E21" s="89">
        <v>6100.752812060724</v>
      </c>
      <c r="F21" s="111">
        <v>166.03398682943418</v>
      </c>
      <c r="G21" s="74"/>
      <c r="H21" s="16"/>
      <c r="I21" s="16"/>
      <c r="J21" s="16"/>
      <c r="K21" s="46"/>
      <c r="L21" s="46"/>
      <c r="M21" s="46"/>
      <c r="N21" s="50"/>
      <c r="O21" s="50"/>
      <c r="P21" s="50"/>
    </row>
    <row r="22" spans="1:16" x14ac:dyDescent="0.2">
      <c r="A22" s="87" t="s">
        <v>23</v>
      </c>
      <c r="B22" s="40">
        <v>48070.46627255241</v>
      </c>
      <c r="C22" s="88">
        <v>47723.149493283359</v>
      </c>
      <c r="D22" s="89">
        <v>83.280737409862581</v>
      </c>
      <c r="E22" s="89">
        <v>3974.4190813217479</v>
      </c>
      <c r="F22" s="111">
        <v>108.16511760618744</v>
      </c>
      <c r="G22" s="74"/>
      <c r="H22" s="16"/>
      <c r="I22" s="16"/>
      <c r="J22" s="16"/>
      <c r="K22" s="46"/>
      <c r="L22" s="46"/>
      <c r="M22" s="46"/>
      <c r="N22" s="50"/>
      <c r="O22" s="50"/>
      <c r="P22" s="50"/>
    </row>
    <row r="23" spans="1:16" x14ac:dyDescent="0.2">
      <c r="A23" s="87" t="s">
        <v>24</v>
      </c>
      <c r="B23" s="40">
        <v>33941.351177267548</v>
      </c>
      <c r="C23" s="88">
        <v>33696.119506160183</v>
      </c>
      <c r="D23" s="89">
        <v>89.307445789627238</v>
      </c>
      <c r="E23" s="89">
        <v>3009.3143661172012</v>
      </c>
      <c r="F23" s="111">
        <v>81.899476543577279</v>
      </c>
      <c r="G23" s="74"/>
      <c r="H23" s="16"/>
      <c r="I23" s="16"/>
      <c r="J23" s="16"/>
      <c r="K23" s="46"/>
      <c r="L23" s="46"/>
      <c r="M23" s="46"/>
      <c r="N23" s="50"/>
      <c r="O23" s="50"/>
      <c r="P23" s="50"/>
    </row>
    <row r="24" spans="1:16" x14ac:dyDescent="0.2">
      <c r="A24" s="87" t="s">
        <v>25</v>
      </c>
      <c r="B24" s="40">
        <v>68392.473655902228</v>
      </c>
      <c r="C24" s="88">
        <v>67898.327134798586</v>
      </c>
      <c r="D24" s="89">
        <v>94.7342769640493</v>
      </c>
      <c r="E24" s="89">
        <v>6432.2989281836326</v>
      </c>
      <c r="F24" s="111">
        <v>175.05712301827884</v>
      </c>
      <c r="G24" s="74"/>
      <c r="H24" s="16"/>
      <c r="I24" s="16"/>
      <c r="J24" s="16"/>
      <c r="K24" s="46"/>
      <c r="L24" s="46"/>
      <c r="M24" s="46"/>
      <c r="N24" s="50"/>
      <c r="O24" s="50"/>
      <c r="P24" s="50"/>
    </row>
    <row r="25" spans="1:16" s="17" customFormat="1" ht="15" x14ac:dyDescent="0.25">
      <c r="A25" s="91" t="s">
        <v>26</v>
      </c>
      <c r="B25" s="92">
        <v>456648.93968331581</v>
      </c>
      <c r="C25" s="93">
        <v>453349.5783230954</v>
      </c>
      <c r="D25" s="94">
        <v>91.744111044272231</v>
      </c>
      <c r="E25" s="94">
        <v>41592.154055548061</v>
      </c>
      <c r="F25" s="112">
        <v>1131.94410122872</v>
      </c>
      <c r="G25" s="74"/>
      <c r="H25" s="16"/>
      <c r="I25" s="16"/>
      <c r="J25" s="16"/>
      <c r="K25" s="47"/>
      <c r="L25" s="46"/>
      <c r="M25" s="47"/>
      <c r="N25" s="50"/>
      <c r="O25" s="50"/>
      <c r="P25" s="50"/>
    </row>
    <row r="26" spans="1:16" x14ac:dyDescent="0.2">
      <c r="A26" s="87" t="s">
        <v>27</v>
      </c>
      <c r="B26" s="40">
        <v>24006.462764636723</v>
      </c>
      <c r="C26" s="88">
        <v>24406.801568610801</v>
      </c>
      <c r="D26" s="89">
        <v>73.47783078268661</v>
      </c>
      <c r="E26" s="89">
        <v>1793.3588356049945</v>
      </c>
      <c r="F26" s="111">
        <v>48.806848345444052</v>
      </c>
      <c r="G26" s="74"/>
      <c r="H26" s="16"/>
      <c r="I26" s="16"/>
      <c r="J26" s="16"/>
      <c r="K26" s="46"/>
      <c r="L26" s="46"/>
      <c r="M26" s="46"/>
      <c r="N26" s="50"/>
      <c r="O26" s="50"/>
      <c r="P26" s="50"/>
    </row>
    <row r="27" spans="1:16" x14ac:dyDescent="0.2">
      <c r="A27" s="87" t="s">
        <v>28</v>
      </c>
      <c r="B27" s="118">
        <v>0</v>
      </c>
      <c r="C27" s="118">
        <v>0</v>
      </c>
      <c r="D27" s="118">
        <v>0</v>
      </c>
      <c r="E27" s="118">
        <v>0</v>
      </c>
      <c r="F27" s="97">
        <v>0</v>
      </c>
      <c r="G27" s="74"/>
      <c r="H27" s="16"/>
      <c r="I27" s="16"/>
      <c r="J27" s="16"/>
      <c r="K27" s="46"/>
      <c r="L27" s="46"/>
      <c r="M27" s="46"/>
      <c r="N27" s="50"/>
      <c r="O27" s="50"/>
      <c r="P27" s="50"/>
    </row>
    <row r="28" spans="1:16" x14ac:dyDescent="0.2">
      <c r="A28" s="87" t="s">
        <v>29</v>
      </c>
      <c r="B28" s="40">
        <v>9373.5020713076592</v>
      </c>
      <c r="C28" s="88">
        <v>9529.8173371203175</v>
      </c>
      <c r="D28" s="89">
        <v>70.123740932511055</v>
      </c>
      <c r="E28" s="89">
        <v>668.26644208237747</v>
      </c>
      <c r="F28" s="97">
        <v>18.187090193837854</v>
      </c>
      <c r="G28" s="74"/>
      <c r="H28" s="16"/>
      <c r="I28" s="16"/>
      <c r="J28" s="16"/>
      <c r="K28" s="46"/>
      <c r="L28" s="46"/>
      <c r="M28" s="46"/>
      <c r="N28" s="50"/>
      <c r="O28" s="50"/>
      <c r="P28" s="50"/>
    </row>
    <row r="29" spans="1:16" x14ac:dyDescent="0.2">
      <c r="A29" s="87" t="s">
        <v>30</v>
      </c>
      <c r="B29" s="40">
        <v>16533.53414099757</v>
      </c>
      <c r="C29" s="88">
        <v>16809.252198604201</v>
      </c>
      <c r="D29" s="89">
        <v>65.483077107766178</v>
      </c>
      <c r="E29" s="89">
        <v>1100.7215578450871</v>
      </c>
      <c r="F29" s="111">
        <v>29.956497872988461</v>
      </c>
      <c r="G29" s="74"/>
      <c r="H29" s="16"/>
      <c r="I29" s="16"/>
      <c r="J29" s="16"/>
      <c r="K29" s="46"/>
      <c r="L29" s="46"/>
      <c r="M29" s="46"/>
      <c r="N29" s="50"/>
      <c r="O29" s="50"/>
      <c r="P29" s="50"/>
    </row>
    <row r="30" spans="1:16" x14ac:dyDescent="0.2">
      <c r="A30" s="87" t="s">
        <v>31</v>
      </c>
      <c r="B30" s="118">
        <v>0</v>
      </c>
      <c r="C30" s="118">
        <v>0</v>
      </c>
      <c r="D30" s="118">
        <v>0</v>
      </c>
      <c r="E30" s="118">
        <v>0</v>
      </c>
      <c r="F30" s="97">
        <v>0</v>
      </c>
      <c r="G30" s="74"/>
      <c r="H30" s="16"/>
      <c r="I30" s="16"/>
      <c r="J30" s="16"/>
      <c r="K30" s="46"/>
      <c r="L30" s="46"/>
      <c r="M30" s="46"/>
      <c r="N30" s="50"/>
      <c r="O30" s="50"/>
      <c r="P30" s="50"/>
    </row>
    <row r="31" spans="1:16" x14ac:dyDescent="0.2">
      <c r="A31" s="87" t="s">
        <v>32</v>
      </c>
      <c r="B31" s="40">
        <v>20719.824213303946</v>
      </c>
      <c r="C31" s="88">
        <v>21065.35407021924</v>
      </c>
      <c r="D31" s="89">
        <v>67.193680180847437</v>
      </c>
      <c r="E31" s="89">
        <v>1415.4586642906245</v>
      </c>
      <c r="F31" s="97">
        <v>38.522171355612493</v>
      </c>
      <c r="G31" s="74"/>
      <c r="H31" s="16"/>
      <c r="I31" s="16"/>
      <c r="J31" s="16"/>
      <c r="K31" s="46"/>
      <c r="L31" s="46"/>
      <c r="M31" s="46"/>
      <c r="N31" s="50"/>
      <c r="O31" s="50"/>
      <c r="P31" s="50"/>
    </row>
    <row r="32" spans="1:16" x14ac:dyDescent="0.2">
      <c r="A32" s="87" t="s">
        <v>33</v>
      </c>
      <c r="B32" s="118">
        <v>0</v>
      </c>
      <c r="C32" s="118">
        <v>0</v>
      </c>
      <c r="D32" s="118">
        <v>0</v>
      </c>
      <c r="E32" s="118">
        <v>0</v>
      </c>
      <c r="F32" s="97">
        <v>0</v>
      </c>
      <c r="G32" s="74"/>
      <c r="H32" s="16"/>
      <c r="I32" s="16"/>
      <c r="J32" s="16"/>
      <c r="K32" s="46"/>
      <c r="L32" s="46"/>
      <c r="M32" s="46"/>
      <c r="N32" s="50"/>
      <c r="O32" s="50"/>
      <c r="P32" s="50"/>
    </row>
    <row r="33" spans="1:16" x14ac:dyDescent="0.2">
      <c r="A33" s="87" t="s">
        <v>34</v>
      </c>
      <c r="B33" s="40">
        <v>7047.8247929345762</v>
      </c>
      <c r="C33" s="88">
        <v>7165.3563833185872</v>
      </c>
      <c r="D33" s="89">
        <v>68.238935742246326</v>
      </c>
      <c r="E33" s="89">
        <v>488.95629381157158</v>
      </c>
      <c r="F33" s="97">
        <v>13.307105753635208</v>
      </c>
      <c r="G33" s="74"/>
      <c r="H33" s="16"/>
      <c r="I33" s="16"/>
      <c r="J33" s="16"/>
      <c r="K33" s="46"/>
      <c r="L33" s="46"/>
      <c r="M33" s="46"/>
      <c r="N33" s="50"/>
      <c r="O33" s="50"/>
      <c r="P33" s="50"/>
    </row>
    <row r="34" spans="1:16" x14ac:dyDescent="0.2">
      <c r="A34" s="87" t="s">
        <v>35</v>
      </c>
      <c r="B34" s="40">
        <v>8544.79320425474</v>
      </c>
      <c r="C34" s="88">
        <v>8687.2886782916848</v>
      </c>
      <c r="D34" s="89">
        <v>64.900532985948175</v>
      </c>
      <c r="E34" s="89">
        <v>563.80966542392366</v>
      </c>
      <c r="F34" s="97">
        <v>15.34426478946016</v>
      </c>
      <c r="G34" s="74"/>
      <c r="H34" s="16"/>
      <c r="I34" s="16"/>
      <c r="J34" s="16"/>
      <c r="K34" s="46"/>
      <c r="L34" s="46"/>
      <c r="M34" s="46"/>
      <c r="N34" s="50"/>
      <c r="O34" s="50"/>
      <c r="P34" s="50"/>
    </row>
    <row r="35" spans="1:16" x14ac:dyDescent="0.2">
      <c r="A35" s="87" t="s">
        <v>36</v>
      </c>
      <c r="B35" s="40">
        <v>9279.138117333925</v>
      </c>
      <c r="C35" s="88">
        <v>9433.8797422132029</v>
      </c>
      <c r="D35" s="89">
        <v>70.702753225128717</v>
      </c>
      <c r="E35" s="89">
        <v>667.00127136924107</v>
      </c>
      <c r="F35" s="97">
        <v>18.152658158318136</v>
      </c>
      <c r="G35" s="74"/>
      <c r="H35" s="16"/>
      <c r="I35" s="16"/>
      <c r="J35" s="16"/>
      <c r="K35" s="46"/>
      <c r="L35" s="46"/>
      <c r="M35" s="46"/>
      <c r="N35" s="50"/>
      <c r="O35" s="50"/>
      <c r="P35" s="50"/>
    </row>
    <row r="36" spans="1:16" s="17" customFormat="1" ht="15" x14ac:dyDescent="0.25">
      <c r="A36" s="91" t="s">
        <v>37</v>
      </c>
      <c r="B36" s="92">
        <v>95505.07930476914</v>
      </c>
      <c r="C36" s="93">
        <v>97097.749978378051</v>
      </c>
      <c r="D36" s="94">
        <v>68.977630603379083</v>
      </c>
      <c r="E36" s="94">
        <v>6697.5727304278198</v>
      </c>
      <c r="F36" s="98">
        <v>182.27663646929639</v>
      </c>
      <c r="G36" s="74"/>
      <c r="H36" s="16"/>
      <c r="I36" s="16"/>
      <c r="J36" s="16"/>
      <c r="K36" s="47"/>
      <c r="L36" s="46"/>
      <c r="M36" s="47"/>
      <c r="N36" s="50"/>
      <c r="O36" s="50"/>
      <c r="P36" s="50"/>
    </row>
    <row r="37" spans="1:16" x14ac:dyDescent="0.2">
      <c r="A37" s="87" t="s">
        <v>38</v>
      </c>
      <c r="B37" s="40">
        <v>929.80221526008563</v>
      </c>
      <c r="C37" s="88">
        <v>915.49932746589491</v>
      </c>
      <c r="D37" s="89">
        <v>82.838758037855399</v>
      </c>
      <c r="E37" s="89">
        <v>75.838827271766618</v>
      </c>
      <c r="F37" s="97">
        <v>2.0639785345026853</v>
      </c>
      <c r="G37" s="74"/>
      <c r="H37" s="16"/>
      <c r="I37" s="16"/>
      <c r="J37" s="16"/>
      <c r="K37" s="46"/>
      <c r="L37" s="46"/>
      <c r="M37" s="46"/>
      <c r="N37" s="50"/>
      <c r="O37" s="50"/>
      <c r="P37" s="50"/>
    </row>
    <row r="38" spans="1:16" x14ac:dyDescent="0.2">
      <c r="A38" s="87" t="s">
        <v>39</v>
      </c>
      <c r="B38" s="40">
        <v>4148.1332456479777</v>
      </c>
      <c r="C38" s="88">
        <v>4084.3236704564843</v>
      </c>
      <c r="D38" s="88">
        <v>78.958623694342279</v>
      </c>
      <c r="E38" s="89">
        <v>322.49257574146839</v>
      </c>
      <c r="F38" s="97">
        <v>8.7767411207671646</v>
      </c>
      <c r="G38" s="74"/>
      <c r="H38" s="16"/>
      <c r="I38" s="16"/>
      <c r="J38" s="16"/>
      <c r="K38" s="46"/>
      <c r="L38" s="46"/>
      <c r="M38" s="46"/>
      <c r="N38" s="50"/>
      <c r="O38" s="50"/>
      <c r="P38" s="50"/>
    </row>
    <row r="39" spans="1:16" x14ac:dyDescent="0.2">
      <c r="A39" s="87" t="s">
        <v>40</v>
      </c>
      <c r="B39" s="40">
        <v>989.7927565501185</v>
      </c>
      <c r="C39" s="88">
        <v>974.5670510139372</v>
      </c>
      <c r="D39" s="89">
        <v>76.071447062742408</v>
      </c>
      <c r="E39" s="89">
        <v>74.13672583029971</v>
      </c>
      <c r="F39" s="97">
        <v>2.017655286041252</v>
      </c>
      <c r="G39" s="74"/>
      <c r="H39" s="16"/>
      <c r="I39" s="16"/>
      <c r="J39" s="16"/>
      <c r="K39" s="46"/>
      <c r="L39" s="46"/>
      <c r="M39" s="46"/>
      <c r="N39" s="50"/>
      <c r="O39" s="50"/>
      <c r="P39" s="50"/>
    </row>
    <row r="40" spans="1:16" x14ac:dyDescent="0.2">
      <c r="A40" s="87" t="s">
        <v>41</v>
      </c>
      <c r="B40" s="40">
        <v>7190.9383222479855</v>
      </c>
      <c r="C40" s="88">
        <v>7080.3221263839123</v>
      </c>
      <c r="D40" s="89">
        <v>73.057179757941171</v>
      </c>
      <c r="E40" s="89">
        <v>517.2683663313577</v>
      </c>
      <c r="F40" s="97">
        <v>14.077628084350048</v>
      </c>
      <c r="G40" s="74"/>
      <c r="H40" s="16"/>
      <c r="I40" s="16"/>
      <c r="J40" s="16"/>
      <c r="K40" s="46"/>
      <c r="L40" s="46"/>
      <c r="M40" s="46"/>
      <c r="N40" s="50"/>
      <c r="O40" s="50"/>
      <c r="P40" s="50"/>
    </row>
    <row r="41" spans="1:16" x14ac:dyDescent="0.2">
      <c r="A41" s="87" t="s">
        <v>42</v>
      </c>
      <c r="B41" s="40">
        <v>3444.1219192450094</v>
      </c>
      <c r="C41" s="88">
        <v>3391.1419536652384</v>
      </c>
      <c r="D41" s="89">
        <v>81.948282651693091</v>
      </c>
      <c r="E41" s="89">
        <v>277.89825933097364</v>
      </c>
      <c r="F41" s="97">
        <v>7.5630921873223906</v>
      </c>
      <c r="G41" s="74"/>
      <c r="H41" s="16"/>
      <c r="I41" s="16"/>
      <c r="J41" s="16"/>
      <c r="K41" s="46"/>
      <c r="L41" s="46"/>
      <c r="M41" s="46"/>
      <c r="N41" s="50"/>
      <c r="O41" s="50"/>
      <c r="P41" s="50"/>
    </row>
    <row r="42" spans="1:16" x14ac:dyDescent="0.2">
      <c r="A42" s="87" t="s">
        <v>43</v>
      </c>
      <c r="B42" s="40">
        <v>2930.8872562438478</v>
      </c>
      <c r="C42" s="88">
        <v>2885.8022361444355</v>
      </c>
      <c r="D42" s="89">
        <v>95.428306748797354</v>
      </c>
      <c r="E42" s="89">
        <v>275.38722100715654</v>
      </c>
      <c r="F42" s="97">
        <v>7.494753456541388</v>
      </c>
      <c r="G42" s="74"/>
      <c r="H42" s="16"/>
      <c r="I42" s="16"/>
      <c r="J42" s="16"/>
      <c r="K42" s="46"/>
      <c r="L42" s="46"/>
      <c r="M42" s="46"/>
      <c r="N42" s="50"/>
      <c r="O42" s="50"/>
      <c r="P42" s="50"/>
    </row>
    <row r="43" spans="1:16" x14ac:dyDescent="0.2">
      <c r="A43" s="87" t="s">
        <v>44</v>
      </c>
      <c r="B43" s="40">
        <v>3769.4577855877474</v>
      </c>
      <c r="C43" s="88">
        <v>3711.4732692386233</v>
      </c>
      <c r="D43" s="89">
        <v>79.974101341129952</v>
      </c>
      <c r="E43" s="89">
        <v>296.82173935898459</v>
      </c>
      <c r="F43" s="97">
        <v>8.0781008969895716</v>
      </c>
      <c r="G43" s="74"/>
      <c r="H43" s="16"/>
      <c r="I43" s="16"/>
      <c r="J43" s="16"/>
      <c r="K43" s="46"/>
      <c r="L43" s="46"/>
      <c r="M43" s="46"/>
      <c r="N43" s="50"/>
      <c r="O43" s="50"/>
      <c r="P43" s="50"/>
    </row>
    <row r="44" spans="1:16" x14ac:dyDescent="0.2">
      <c r="A44" s="87" t="s">
        <v>45</v>
      </c>
      <c r="B44" s="40">
        <v>5438.7694044272594</v>
      </c>
      <c r="C44" s="88">
        <v>5355.1063336652251</v>
      </c>
      <c r="D44" s="89">
        <v>89.57398884933086</v>
      </c>
      <c r="E44" s="89">
        <v>479.67823501870993</v>
      </c>
      <c r="F44" s="97">
        <v>13.054600343422337</v>
      </c>
      <c r="G44" s="74"/>
      <c r="H44" s="16"/>
      <c r="I44" s="16"/>
      <c r="J44" s="16"/>
      <c r="K44" s="46"/>
      <c r="L44" s="46"/>
      <c r="M44" s="46"/>
      <c r="N44" s="50"/>
      <c r="O44" s="50"/>
      <c r="P44" s="50"/>
    </row>
    <row r="45" spans="1:16" s="17" customFormat="1" ht="15" x14ac:dyDescent="0.25">
      <c r="A45" s="91" t="s">
        <v>46</v>
      </c>
      <c r="B45" s="92">
        <v>28841.90290521003</v>
      </c>
      <c r="C45" s="93">
        <v>28398.23596803375</v>
      </c>
      <c r="D45" s="94">
        <v>81.67838144952627</v>
      </c>
      <c r="E45" s="94">
        <v>2319.5219498907172</v>
      </c>
      <c r="F45" s="98">
        <v>63.126549909936848</v>
      </c>
      <c r="G45" s="74"/>
      <c r="H45" s="16"/>
      <c r="I45" s="16"/>
      <c r="J45" s="16"/>
      <c r="K45" s="47"/>
      <c r="L45" s="46"/>
      <c r="M45" s="47"/>
      <c r="N45" s="50"/>
      <c r="O45" s="50"/>
      <c r="P45" s="50"/>
    </row>
    <row r="46" spans="1:16" x14ac:dyDescent="0.2">
      <c r="A46" s="87" t="s">
        <v>47</v>
      </c>
      <c r="B46" s="118">
        <v>0</v>
      </c>
      <c r="C46" s="118">
        <v>0</v>
      </c>
      <c r="D46" s="118">
        <v>0</v>
      </c>
      <c r="E46" s="118">
        <v>0</v>
      </c>
      <c r="F46" s="97">
        <v>0</v>
      </c>
      <c r="G46" s="74"/>
      <c r="H46" s="16"/>
      <c r="I46" s="16"/>
      <c r="J46" s="16"/>
      <c r="K46" s="46"/>
      <c r="L46" s="46"/>
      <c r="M46" s="46"/>
      <c r="N46" s="50"/>
      <c r="O46" s="50"/>
      <c r="P46" s="50"/>
    </row>
    <row r="47" spans="1:16" x14ac:dyDescent="0.2">
      <c r="A47" s="87" t="s">
        <v>48</v>
      </c>
      <c r="B47" s="40">
        <v>0</v>
      </c>
      <c r="C47" s="40">
        <v>0</v>
      </c>
      <c r="D47" s="113">
        <v>0</v>
      </c>
      <c r="E47" s="113">
        <v>0</v>
      </c>
      <c r="F47" s="97">
        <v>0</v>
      </c>
      <c r="G47" s="74"/>
      <c r="H47" s="16"/>
      <c r="I47" s="16"/>
      <c r="J47" s="16"/>
      <c r="K47" s="46"/>
      <c r="L47" s="46"/>
      <c r="M47" s="46"/>
      <c r="N47" s="50"/>
      <c r="O47" s="50"/>
      <c r="P47" s="50"/>
    </row>
    <row r="48" spans="1:16" x14ac:dyDescent="0.2">
      <c r="A48" s="99" t="s">
        <v>49</v>
      </c>
      <c r="B48" s="118">
        <v>0</v>
      </c>
      <c r="C48" s="118">
        <v>0</v>
      </c>
      <c r="D48" s="118">
        <v>0</v>
      </c>
      <c r="E48" s="118">
        <v>0</v>
      </c>
      <c r="F48" s="97">
        <v>0</v>
      </c>
      <c r="G48" s="74"/>
      <c r="H48" s="16"/>
      <c r="I48" s="16"/>
      <c r="J48" s="16"/>
      <c r="K48" s="46"/>
      <c r="L48" s="46"/>
      <c r="M48" s="46"/>
      <c r="N48" s="50"/>
      <c r="O48" s="50"/>
      <c r="P48" s="50"/>
    </row>
    <row r="49" spans="1:16" x14ac:dyDescent="0.2">
      <c r="A49" s="87" t="s">
        <v>50</v>
      </c>
      <c r="B49" s="40">
        <v>0</v>
      </c>
      <c r="C49" s="40">
        <v>0</v>
      </c>
      <c r="D49" s="40">
        <v>0</v>
      </c>
      <c r="E49" s="113">
        <v>0</v>
      </c>
      <c r="F49" s="97">
        <v>0</v>
      </c>
      <c r="G49" s="74"/>
      <c r="H49" s="16"/>
      <c r="I49" s="16"/>
      <c r="J49" s="16"/>
      <c r="K49" s="46"/>
      <c r="L49" s="46"/>
      <c r="M49" s="46"/>
      <c r="N49" s="50"/>
      <c r="O49" s="50"/>
      <c r="P49" s="50"/>
    </row>
    <row r="50" spans="1:16" x14ac:dyDescent="0.2">
      <c r="A50" s="87" t="s">
        <v>51</v>
      </c>
      <c r="B50" s="40">
        <v>0</v>
      </c>
      <c r="C50" s="40">
        <v>0</v>
      </c>
      <c r="D50" s="113">
        <v>0</v>
      </c>
      <c r="E50" s="113">
        <v>0</v>
      </c>
      <c r="F50" s="97">
        <v>0</v>
      </c>
      <c r="G50" s="74"/>
      <c r="H50" s="16"/>
      <c r="I50" s="16"/>
      <c r="J50" s="16"/>
      <c r="K50" s="46"/>
      <c r="L50" s="46"/>
      <c r="M50" s="46"/>
      <c r="N50" s="50"/>
      <c r="O50" s="50"/>
      <c r="P50" s="50"/>
    </row>
    <row r="51" spans="1:16" x14ac:dyDescent="0.2">
      <c r="A51" s="87" t="s">
        <v>52</v>
      </c>
      <c r="B51" s="40">
        <v>740.11877591731945</v>
      </c>
      <c r="C51" s="88">
        <v>679.80452652080794</v>
      </c>
      <c r="D51" s="89">
        <v>91.669817914852999</v>
      </c>
      <c r="E51" s="89">
        <v>62.317557163855319</v>
      </c>
      <c r="F51" s="97">
        <v>1.6959927379668893</v>
      </c>
      <c r="G51" s="74"/>
      <c r="H51" s="16"/>
      <c r="I51" s="16"/>
      <c r="J51" s="16"/>
      <c r="K51" s="46"/>
      <c r="L51" s="46"/>
      <c r="M51" s="46"/>
      <c r="N51" s="50"/>
      <c r="O51" s="50"/>
      <c r="P51" s="50"/>
    </row>
    <row r="52" spans="1:16" x14ac:dyDescent="0.2">
      <c r="A52" s="87" t="s">
        <v>53</v>
      </c>
      <c r="B52" s="118">
        <v>0</v>
      </c>
      <c r="C52" s="118">
        <v>0</v>
      </c>
      <c r="D52" s="118">
        <v>0</v>
      </c>
      <c r="E52" s="118">
        <v>0</v>
      </c>
      <c r="F52" s="97">
        <v>0</v>
      </c>
      <c r="G52" s="74"/>
      <c r="H52" s="16"/>
      <c r="I52" s="16"/>
      <c r="J52" s="16"/>
      <c r="K52" s="46"/>
      <c r="L52" s="46"/>
      <c r="M52" s="46"/>
      <c r="N52" s="50"/>
      <c r="O52" s="50"/>
      <c r="P52" s="50"/>
    </row>
    <row r="53" spans="1:16" x14ac:dyDescent="0.2">
      <c r="A53" s="87" t="s">
        <v>54</v>
      </c>
      <c r="B53" s="40">
        <v>0</v>
      </c>
      <c r="C53" s="40">
        <v>0</v>
      </c>
      <c r="D53" s="40">
        <v>0</v>
      </c>
      <c r="E53" s="113">
        <v>0</v>
      </c>
      <c r="F53" s="97">
        <v>0</v>
      </c>
      <c r="G53" s="74"/>
      <c r="H53" s="16"/>
      <c r="I53" s="16"/>
      <c r="J53" s="16"/>
      <c r="K53" s="46"/>
      <c r="L53" s="46"/>
      <c r="M53" s="46"/>
      <c r="N53" s="50"/>
      <c r="O53" s="50"/>
      <c r="P53" s="50"/>
    </row>
    <row r="54" spans="1:16" x14ac:dyDescent="0.2">
      <c r="A54" s="87" t="s">
        <v>55</v>
      </c>
      <c r="B54" s="118">
        <v>0</v>
      </c>
      <c r="C54" s="118">
        <v>0</v>
      </c>
      <c r="D54" s="118">
        <v>0</v>
      </c>
      <c r="E54" s="118">
        <v>0</v>
      </c>
      <c r="F54" s="97">
        <v>0</v>
      </c>
      <c r="G54" s="74"/>
      <c r="H54" s="16"/>
      <c r="I54" s="16"/>
      <c r="J54" s="16"/>
      <c r="K54" s="46"/>
      <c r="L54" s="46"/>
      <c r="M54" s="46"/>
      <c r="N54" s="50"/>
      <c r="O54" s="50"/>
      <c r="P54" s="50"/>
    </row>
    <row r="55" spans="1:16" x14ac:dyDescent="0.2">
      <c r="A55" s="87" t="s">
        <v>56</v>
      </c>
      <c r="B55" s="40">
        <v>3309.8491207112784</v>
      </c>
      <c r="C55" s="88">
        <v>3040.1207043716481</v>
      </c>
      <c r="D55" s="89">
        <v>69.70788369077188</v>
      </c>
      <c r="E55" s="89">
        <v>211.92038046624631</v>
      </c>
      <c r="F55" s="97">
        <v>5.7674825948793407</v>
      </c>
      <c r="G55" s="74"/>
      <c r="H55" s="16"/>
      <c r="I55" s="16"/>
      <c r="J55" s="16"/>
      <c r="K55" s="46"/>
      <c r="L55" s="46"/>
      <c r="M55" s="46"/>
      <c r="N55" s="50"/>
      <c r="O55" s="50"/>
      <c r="P55" s="50"/>
    </row>
    <row r="56" spans="1:16" s="17" customFormat="1" ht="15" x14ac:dyDescent="0.25">
      <c r="A56" s="91" t="s">
        <v>57</v>
      </c>
      <c r="B56" s="92">
        <v>4049.9678966285978</v>
      </c>
      <c r="C56" s="93">
        <v>3719.9252308924561</v>
      </c>
      <c r="D56" s="94">
        <v>73.721357448979845</v>
      </c>
      <c r="E56" s="94">
        <v>274.23793763010161</v>
      </c>
      <c r="F56" s="112">
        <v>7.4634753328462304</v>
      </c>
      <c r="G56" s="74"/>
      <c r="H56" s="16"/>
      <c r="I56" s="16"/>
      <c r="J56" s="16"/>
      <c r="K56" s="47"/>
      <c r="L56" s="46"/>
      <c r="M56" s="47"/>
      <c r="N56" s="50"/>
      <c r="O56" s="50"/>
      <c r="P56" s="50"/>
    </row>
    <row r="57" spans="1:16" s="17" customFormat="1" ht="15" x14ac:dyDescent="0.25">
      <c r="A57" s="100" t="s">
        <v>0</v>
      </c>
      <c r="B57" s="101">
        <v>1081600.0000000049</v>
      </c>
      <c r="C57" s="102">
        <v>1079999.9999999984</v>
      </c>
      <c r="D57" s="103">
        <v>90.888888888889028</v>
      </c>
      <c r="E57" s="103">
        <v>98160</v>
      </c>
      <c r="F57" s="114">
        <v>2671.456564337037</v>
      </c>
      <c r="G57" s="74"/>
      <c r="H57" s="16"/>
      <c r="I57" s="115"/>
      <c r="J57" s="115"/>
      <c r="K57" s="116"/>
      <c r="L57" s="46"/>
      <c r="M57" s="47"/>
      <c r="N57" s="50"/>
      <c r="O57" s="50"/>
      <c r="P57" s="50"/>
    </row>
    <row r="58" spans="1:16" s="22" customFormat="1" x14ac:dyDescent="0.2">
      <c r="A58" s="1" t="s">
        <v>155</v>
      </c>
      <c r="B58" s="20"/>
      <c r="C58" s="16"/>
      <c r="D58" s="20"/>
      <c r="E58" s="15"/>
      <c r="F58" s="21"/>
      <c r="G58" s="20"/>
      <c r="H58" s="117"/>
      <c r="I58" s="117"/>
      <c r="J58" s="117"/>
      <c r="K58" s="117"/>
      <c r="L58" s="40"/>
      <c r="M58" s="40"/>
      <c r="N58" s="40"/>
    </row>
    <row r="59" spans="1:16" ht="171" x14ac:dyDescent="0.2">
      <c r="A59" s="105" t="s">
        <v>58</v>
      </c>
      <c r="B59" s="119"/>
      <c r="C59" s="119"/>
      <c r="D59" s="119"/>
      <c r="E59" s="119"/>
      <c r="F59" s="119"/>
      <c r="G59" s="3"/>
      <c r="H59" s="3"/>
      <c r="I59" s="3"/>
      <c r="J59" s="3"/>
    </row>
    <row r="60" spans="1:16" ht="15" x14ac:dyDescent="0.2">
      <c r="A60"/>
      <c r="B60" s="6"/>
      <c r="C60" s="6"/>
      <c r="D60" s="8"/>
      <c r="E60" s="12"/>
      <c r="F60" s="14"/>
      <c r="G60" s="3"/>
      <c r="H60" s="3"/>
      <c r="I60" s="3"/>
      <c r="J60" s="3"/>
    </row>
    <row r="61" spans="1:16" ht="15" x14ac:dyDescent="0.25">
      <c r="A61" s="17" t="s">
        <v>60</v>
      </c>
      <c r="B61" s="6"/>
      <c r="C61" s="6"/>
      <c r="D61" s="8"/>
      <c r="E61" s="6"/>
      <c r="F61" s="7"/>
      <c r="G61" s="3"/>
      <c r="H61" s="3"/>
      <c r="I61" s="3"/>
      <c r="J61" s="3"/>
    </row>
    <row r="62" spans="1:16" x14ac:dyDescent="0.2">
      <c r="A62" s="41" t="s">
        <v>154</v>
      </c>
      <c r="B62" s="6"/>
      <c r="C62" s="6"/>
      <c r="D62" s="8"/>
      <c r="E62" s="6"/>
      <c r="F62" s="7"/>
      <c r="G62" s="3"/>
      <c r="H62" s="3"/>
      <c r="I62" s="3"/>
      <c r="J62" s="3"/>
    </row>
    <row r="63" spans="1:16" x14ac:dyDescent="0.2">
      <c r="A63" s="3"/>
      <c r="B63" s="6"/>
      <c r="C63" s="6"/>
      <c r="D63" s="8"/>
      <c r="E63" s="6"/>
      <c r="F63" s="7"/>
      <c r="G63" s="3"/>
      <c r="H63" s="3"/>
      <c r="I63" s="3"/>
      <c r="J63" s="3"/>
    </row>
    <row r="64" spans="1:16" x14ac:dyDescent="0.2">
      <c r="A64" s="3"/>
      <c r="B64" s="6"/>
      <c r="C64" s="6"/>
      <c r="D64" s="8"/>
      <c r="E64" s="6"/>
      <c r="F64" s="7"/>
      <c r="G64" s="3"/>
      <c r="H64" s="3"/>
      <c r="I64" s="3"/>
      <c r="J64" s="3"/>
    </row>
    <row r="65" spans="1:10" x14ac:dyDescent="0.2">
      <c r="A65" s="3"/>
      <c r="B65" s="6"/>
      <c r="C65" s="6"/>
      <c r="D65" s="8"/>
      <c r="E65" s="6"/>
      <c r="F65" s="7"/>
      <c r="G65" s="3"/>
      <c r="H65" s="3"/>
      <c r="I65" s="3"/>
      <c r="J65" s="3"/>
    </row>
    <row r="66" spans="1:10" x14ac:dyDescent="0.2">
      <c r="A66" s="3"/>
      <c r="B66" s="6"/>
      <c r="C66" s="6"/>
      <c r="D66" s="8"/>
      <c r="E66" s="6"/>
      <c r="F66" s="7"/>
      <c r="G66" s="3"/>
      <c r="H66" s="3"/>
      <c r="I66" s="3"/>
      <c r="J66" s="3"/>
    </row>
    <row r="67" spans="1:10" x14ac:dyDescent="0.2">
      <c r="A67" s="3"/>
      <c r="B67" s="6"/>
      <c r="C67" s="6"/>
      <c r="D67" s="8"/>
      <c r="E67" s="6"/>
      <c r="F67" s="7"/>
      <c r="G67" s="3"/>
      <c r="H67" s="3"/>
      <c r="I67" s="3"/>
      <c r="J67" s="3"/>
    </row>
    <row r="68" spans="1:10" x14ac:dyDescent="0.2">
      <c r="A68" s="3"/>
      <c r="B68" s="6"/>
      <c r="C68" s="6"/>
      <c r="D68" s="8"/>
      <c r="E68" s="6"/>
      <c r="F68" s="7"/>
      <c r="G68" s="3"/>
      <c r="H68" s="3"/>
      <c r="I68" s="3"/>
      <c r="J68" s="3"/>
    </row>
    <row r="69" spans="1:10" x14ac:dyDescent="0.2">
      <c r="A69" s="3"/>
      <c r="B69" s="6"/>
      <c r="C69" s="6"/>
      <c r="D69" s="8"/>
      <c r="E69" s="6"/>
      <c r="F69" s="7"/>
      <c r="G69" s="3"/>
      <c r="H69" s="3"/>
      <c r="I69" s="3"/>
      <c r="J69" s="3"/>
    </row>
    <row r="70" spans="1:10" x14ac:dyDescent="0.2">
      <c r="A70" s="3"/>
      <c r="B70" s="3"/>
      <c r="C70" s="3"/>
      <c r="D70" s="3"/>
      <c r="E70" s="6"/>
      <c r="F70" s="7"/>
      <c r="G70" s="3"/>
      <c r="H70" s="3"/>
      <c r="I70" s="3"/>
      <c r="J70" s="3"/>
    </row>
    <row r="71" spans="1:10" x14ac:dyDescent="0.2">
      <c r="A71" s="3"/>
      <c r="B71" s="3"/>
      <c r="C71" s="3"/>
      <c r="D71" s="3"/>
      <c r="E71" s="6"/>
      <c r="F71" s="7"/>
      <c r="G71" s="3"/>
      <c r="H71" s="3"/>
      <c r="I71" s="3"/>
      <c r="J71" s="3"/>
    </row>
    <row r="72" spans="1:10" x14ac:dyDescent="0.2">
      <c r="A72" s="3"/>
      <c r="B72" s="3"/>
      <c r="C72" s="3"/>
      <c r="D72" s="3"/>
      <c r="E72" s="6"/>
      <c r="F72" s="7"/>
      <c r="G72" s="3"/>
      <c r="H72" s="3"/>
      <c r="I72" s="3"/>
      <c r="J72" s="3"/>
    </row>
    <row r="73" spans="1:10" x14ac:dyDescent="0.2">
      <c r="A73" s="3"/>
      <c r="B73" s="3"/>
      <c r="C73" s="3"/>
      <c r="D73" s="3"/>
      <c r="E73" s="6"/>
      <c r="F73" s="7"/>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E80" s="3"/>
      <c r="F80" s="3"/>
      <c r="G80" s="3"/>
      <c r="H80" s="3"/>
      <c r="I80" s="3"/>
      <c r="J80" s="3"/>
    </row>
    <row r="81" spans="1:10" x14ac:dyDescent="0.2">
      <c r="A81" s="3"/>
      <c r="E81" s="3"/>
      <c r="F81" s="3"/>
      <c r="G81" s="3"/>
      <c r="H81" s="3"/>
      <c r="I81" s="3"/>
      <c r="J81" s="3"/>
    </row>
    <row r="82" spans="1:10" x14ac:dyDescent="0.2">
      <c r="A82" s="3"/>
      <c r="E82" s="3"/>
      <c r="F82" s="3"/>
      <c r="G82" s="3"/>
      <c r="H82" s="3"/>
      <c r="I82" s="3"/>
      <c r="J82" s="3"/>
    </row>
    <row r="83" spans="1:10" x14ac:dyDescent="0.2">
      <c r="A83" s="3"/>
      <c r="E83" s="3"/>
      <c r="F83" s="3"/>
      <c r="G83" s="3"/>
      <c r="H83" s="3"/>
      <c r="I83" s="3"/>
      <c r="J83" s="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412C-0234-4F19-B424-42170960558A}">
  <dimension ref="A1:P83"/>
  <sheetViews>
    <sheetView workbookViewId="0">
      <selection sqref="A1:XFD1048576"/>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7" width="9.77734375" style="1"/>
    <col min="8" max="9" width="11.21875" style="1" bestFit="1" customWidth="1"/>
    <col min="10" max="10" width="9.88671875" style="1" bestFit="1" customWidth="1"/>
    <col min="11" max="11" width="10.33203125" style="1" bestFit="1" customWidth="1"/>
    <col min="12" max="12" width="10.21875" style="1" bestFit="1" customWidth="1"/>
    <col min="13" max="13" width="9.88671875" style="1" bestFit="1" customWidth="1"/>
    <col min="14" max="14" width="12.44140625" style="1" bestFit="1" customWidth="1"/>
    <col min="15" max="16384" width="9.77734375" style="1"/>
  </cols>
  <sheetData>
    <row r="1" spans="1:16" ht="18" x14ac:dyDescent="0.25">
      <c r="A1" s="106" t="s">
        <v>152</v>
      </c>
    </row>
    <row r="2" spans="1:16" ht="15" x14ac:dyDescent="0.25">
      <c r="A2" s="80" t="s">
        <v>153</v>
      </c>
      <c r="B2" s="81"/>
      <c r="C2" s="81"/>
      <c r="D2" s="81"/>
      <c r="E2" s="81"/>
      <c r="F2" s="81"/>
      <c r="G2" s="3"/>
      <c r="H2" s="3"/>
      <c r="I2" s="3"/>
      <c r="J2" s="3"/>
    </row>
    <row r="3" spans="1:16" ht="47.25" customHeight="1" thickBot="1" x14ac:dyDescent="0.3">
      <c r="A3" s="82"/>
      <c r="B3" s="83" t="s">
        <v>59</v>
      </c>
      <c r="C3" s="84" t="s">
        <v>2</v>
      </c>
      <c r="D3" s="85" t="s">
        <v>3</v>
      </c>
      <c r="E3" s="84" t="s">
        <v>4</v>
      </c>
      <c r="F3" s="86" t="s">
        <v>1</v>
      </c>
      <c r="G3" s="3"/>
      <c r="H3" s="3"/>
      <c r="I3" s="3"/>
      <c r="J3" s="3"/>
    </row>
    <row r="4" spans="1:16" x14ac:dyDescent="0.2">
      <c r="A4" s="87" t="s">
        <v>5</v>
      </c>
      <c r="B4" s="40">
        <v>8099.9999999999991</v>
      </c>
      <c r="C4" s="88">
        <v>8087.4987942509879</v>
      </c>
      <c r="D4" s="89">
        <v>74.451729256053696</v>
      </c>
      <c r="E4" s="89">
        <v>602.12827058823518</v>
      </c>
      <c r="F4" s="111">
        <f>+E4/36.744</f>
        <v>16.387118184961768</v>
      </c>
      <c r="G4" s="74"/>
      <c r="H4" s="16"/>
      <c r="I4" s="16"/>
      <c r="J4" s="16"/>
      <c r="K4" s="46"/>
      <c r="L4" s="46"/>
      <c r="M4" s="46"/>
      <c r="N4" s="50"/>
      <c r="O4" s="50"/>
      <c r="P4" s="50"/>
    </row>
    <row r="5" spans="1:16" x14ac:dyDescent="0.2">
      <c r="A5" s="87" t="s">
        <v>6</v>
      </c>
      <c r="B5" s="40">
        <v>127100</v>
      </c>
      <c r="C5" s="88">
        <v>126903.83910485194</v>
      </c>
      <c r="D5" s="89">
        <v>87.2</v>
      </c>
      <c r="E5" s="89">
        <v>11066.014769943091</v>
      </c>
      <c r="F5" s="111">
        <f t="shared" ref="F5:F57" si="0">+E5/36.744</f>
        <v>301.16521799322584</v>
      </c>
      <c r="G5" s="74"/>
      <c r="H5" s="16"/>
      <c r="I5" s="16"/>
      <c r="J5" s="16"/>
      <c r="K5" s="46"/>
      <c r="L5" s="46"/>
      <c r="M5" s="46"/>
      <c r="N5" s="50"/>
      <c r="O5" s="50"/>
      <c r="P5" s="50"/>
    </row>
    <row r="6" spans="1:16" x14ac:dyDescent="0.2">
      <c r="A6" s="87" t="s">
        <v>7</v>
      </c>
      <c r="B6" s="40">
        <v>37200</v>
      </c>
      <c r="C6" s="88">
        <v>37142.587055078613</v>
      </c>
      <c r="D6" s="89">
        <v>86</v>
      </c>
      <c r="E6" s="89">
        <v>3194.2624867367608</v>
      </c>
      <c r="F6" s="111">
        <f t="shared" si="0"/>
        <v>86.932900248659934</v>
      </c>
      <c r="G6" s="74"/>
      <c r="H6" s="16"/>
      <c r="I6" s="16"/>
      <c r="J6" s="16"/>
      <c r="K6" s="46"/>
      <c r="L6" s="46"/>
      <c r="M6" s="46"/>
      <c r="N6" s="50"/>
      <c r="O6" s="50"/>
      <c r="P6" s="50"/>
    </row>
    <row r="7" spans="1:16" x14ac:dyDescent="0.2">
      <c r="A7" s="87" t="s">
        <v>8</v>
      </c>
      <c r="B7" s="40">
        <v>31700</v>
      </c>
      <c r="C7" s="88">
        <v>31651.075528118068</v>
      </c>
      <c r="D7" s="89">
        <v>68</v>
      </c>
      <c r="E7" s="89">
        <v>2152.2731359120285</v>
      </c>
      <c r="F7" s="111">
        <f t="shared" si="0"/>
        <v>58.574818634662215</v>
      </c>
      <c r="G7" s="74"/>
      <c r="H7" s="16"/>
      <c r="I7" s="16"/>
      <c r="J7" s="16"/>
      <c r="K7" s="46"/>
      <c r="L7" s="46"/>
      <c r="M7" s="46"/>
      <c r="N7" s="50"/>
      <c r="O7" s="50"/>
      <c r="P7" s="50"/>
    </row>
    <row r="8" spans="1:16" x14ac:dyDescent="0.2">
      <c r="A8" s="87" t="s">
        <v>9</v>
      </c>
      <c r="B8" s="40">
        <v>38400</v>
      </c>
      <c r="C8" s="88">
        <v>38340.735024597278</v>
      </c>
      <c r="D8" s="89">
        <v>70.900000000000006</v>
      </c>
      <c r="E8" s="89">
        <v>2718.3581132439472</v>
      </c>
      <c r="F8" s="111">
        <f t="shared" si="0"/>
        <v>73.981006783255694</v>
      </c>
      <c r="G8" s="74"/>
      <c r="H8" s="16"/>
      <c r="I8" s="16"/>
      <c r="J8" s="16"/>
      <c r="K8" s="46"/>
      <c r="L8" s="46"/>
      <c r="M8" s="46"/>
      <c r="N8" s="50"/>
      <c r="O8" s="50"/>
      <c r="P8" s="50"/>
    </row>
    <row r="9" spans="1:16" x14ac:dyDescent="0.2">
      <c r="A9" s="87" t="s">
        <v>10</v>
      </c>
      <c r="B9" s="40">
        <v>5300</v>
      </c>
      <c r="C9" s="88">
        <v>5291.8201987074372</v>
      </c>
      <c r="D9" s="89">
        <v>69</v>
      </c>
      <c r="E9" s="89">
        <v>365.13559371081317</v>
      </c>
      <c r="F9" s="111">
        <f t="shared" si="0"/>
        <v>9.9372848277491066</v>
      </c>
      <c r="G9" s="74"/>
      <c r="H9" s="16"/>
      <c r="I9" s="16"/>
      <c r="J9" s="16"/>
      <c r="K9" s="46"/>
      <c r="L9" s="46"/>
      <c r="M9" s="46"/>
      <c r="N9" s="50"/>
      <c r="O9" s="50"/>
      <c r="P9" s="50"/>
    </row>
    <row r="10" spans="1:16" x14ac:dyDescent="0.2">
      <c r="A10" s="87" t="s">
        <v>11</v>
      </c>
      <c r="B10" s="40">
        <v>69600</v>
      </c>
      <c r="C10" s="88">
        <v>69492.582232082568</v>
      </c>
      <c r="D10" s="89">
        <v>70</v>
      </c>
      <c r="E10" s="89">
        <v>4864.48075624578</v>
      </c>
      <c r="F10" s="111">
        <f t="shared" si="0"/>
        <v>132.38843773801926</v>
      </c>
      <c r="G10" s="74"/>
      <c r="H10" s="16"/>
      <c r="I10" s="16"/>
      <c r="J10" s="16"/>
      <c r="K10" s="46"/>
      <c r="L10" s="46"/>
      <c r="M10" s="46"/>
      <c r="N10" s="50"/>
      <c r="O10" s="50"/>
      <c r="P10" s="50"/>
    </row>
    <row r="11" spans="1:16" x14ac:dyDescent="0.2">
      <c r="A11" s="87" t="s">
        <v>12</v>
      </c>
      <c r="B11" s="40">
        <v>58800</v>
      </c>
      <c r="C11" s="88">
        <v>58709.250506414588</v>
      </c>
      <c r="D11" s="89">
        <v>83</v>
      </c>
      <c r="E11" s="89">
        <v>4872.8677920324108</v>
      </c>
      <c r="F11" s="111">
        <f t="shared" si="0"/>
        <v>132.61669366515378</v>
      </c>
      <c r="G11" s="74"/>
      <c r="H11" s="16"/>
      <c r="I11" s="16"/>
      <c r="J11" s="16"/>
      <c r="K11" s="46"/>
      <c r="L11" s="46"/>
      <c r="M11" s="46"/>
      <c r="N11" s="50"/>
      <c r="O11" s="50"/>
      <c r="P11" s="50"/>
    </row>
    <row r="12" spans="1:16" x14ac:dyDescent="0.2">
      <c r="A12" s="87" t="s">
        <v>13</v>
      </c>
      <c r="B12" s="40">
        <v>13800</v>
      </c>
      <c r="C12" s="88">
        <v>13778.701649464647</v>
      </c>
      <c r="D12" s="89">
        <v>60</v>
      </c>
      <c r="E12" s="89">
        <v>826.72209896787888</v>
      </c>
      <c r="F12" s="111">
        <f t="shared" si="0"/>
        <v>22.499512817545146</v>
      </c>
      <c r="G12" s="74"/>
      <c r="H12" s="16"/>
      <c r="I12" s="16"/>
      <c r="J12" s="16"/>
      <c r="K12" s="46"/>
      <c r="L12" s="46"/>
      <c r="M12" s="46"/>
      <c r="N12" s="50"/>
      <c r="O12" s="50"/>
      <c r="P12" s="50"/>
    </row>
    <row r="13" spans="1:16" x14ac:dyDescent="0.2">
      <c r="A13" s="87" t="s">
        <v>14</v>
      </c>
      <c r="B13" s="40">
        <v>26700</v>
      </c>
      <c r="C13" s="88">
        <v>26658.792321790297</v>
      </c>
      <c r="D13" s="89">
        <v>93.9</v>
      </c>
      <c r="E13" s="89">
        <v>2503.2605990161092</v>
      </c>
      <c r="F13" s="111">
        <f t="shared" si="0"/>
        <v>68.127057451995128</v>
      </c>
      <c r="G13" s="74"/>
      <c r="H13" s="16"/>
      <c r="I13" s="16"/>
      <c r="J13" s="16"/>
      <c r="K13" s="46"/>
      <c r="L13" s="46"/>
      <c r="M13" s="46"/>
      <c r="N13" s="50"/>
      <c r="O13" s="50"/>
      <c r="P13" s="50"/>
    </row>
    <row r="14" spans="1:16" s="17" customFormat="1" ht="15" x14ac:dyDescent="0.25">
      <c r="A14" s="91" t="s">
        <v>15</v>
      </c>
      <c r="B14" s="92">
        <v>416700</v>
      </c>
      <c r="C14" s="93">
        <v>416056.88241535641</v>
      </c>
      <c r="D14" s="94">
        <v>79.713868507257118</v>
      </c>
      <c r="E14" s="94">
        <v>33165.503616397058</v>
      </c>
      <c r="F14" s="112">
        <f t="shared" si="0"/>
        <v>902.61004834522805</v>
      </c>
      <c r="G14" s="74"/>
      <c r="H14" s="16"/>
      <c r="I14" s="16"/>
      <c r="J14" s="16"/>
      <c r="K14" s="47"/>
      <c r="L14" s="46"/>
      <c r="M14" s="47"/>
      <c r="N14" s="50"/>
      <c r="O14" s="50"/>
      <c r="P14" s="50"/>
    </row>
    <row r="15" spans="1:16" x14ac:dyDescent="0.2">
      <c r="A15" s="87" t="s">
        <v>16</v>
      </c>
      <c r="B15" s="40">
        <v>56700</v>
      </c>
      <c r="C15" s="88">
        <v>56612.49155975692</v>
      </c>
      <c r="D15" s="89">
        <v>90</v>
      </c>
      <c r="E15" s="89">
        <v>5095.1242403781225</v>
      </c>
      <c r="F15" s="111">
        <f t="shared" si="0"/>
        <v>138.66547573421843</v>
      </c>
      <c r="G15" s="74"/>
      <c r="H15" s="16"/>
      <c r="I15" s="16"/>
      <c r="J15" s="16"/>
      <c r="K15" s="46"/>
      <c r="L15" s="46"/>
      <c r="M15" s="46"/>
      <c r="N15" s="50"/>
      <c r="O15" s="50"/>
      <c r="P15" s="50"/>
    </row>
    <row r="16" spans="1:16" x14ac:dyDescent="0.2">
      <c r="A16" s="87" t="s">
        <v>17</v>
      </c>
      <c r="B16" s="40">
        <v>18400</v>
      </c>
      <c r="C16" s="88">
        <v>18371.602199286197</v>
      </c>
      <c r="D16" s="89">
        <v>87.25686171790521</v>
      </c>
      <c r="E16" s="89">
        <v>1603.0483526394789</v>
      </c>
      <c r="F16" s="111">
        <f t="shared" si="0"/>
        <v>43.627486192017173</v>
      </c>
      <c r="G16" s="74"/>
      <c r="H16" s="16"/>
      <c r="I16" s="16"/>
      <c r="J16" s="16"/>
      <c r="K16" s="46"/>
      <c r="L16" s="46"/>
      <c r="M16" s="46"/>
      <c r="N16" s="50"/>
      <c r="O16" s="50"/>
      <c r="P16" s="50"/>
    </row>
    <row r="17" spans="1:16" x14ac:dyDescent="0.2">
      <c r="A17" s="87" t="s">
        <v>18</v>
      </c>
      <c r="B17" s="40">
        <v>30300</v>
      </c>
      <c r="C17" s="88">
        <v>30253.236230346291</v>
      </c>
      <c r="D17" s="89">
        <v>88</v>
      </c>
      <c r="E17" s="89">
        <v>2662.2847882704737</v>
      </c>
      <c r="F17" s="111">
        <f t="shared" si="0"/>
        <v>72.454952870413507</v>
      </c>
      <c r="G17" s="74"/>
      <c r="H17" s="16"/>
      <c r="I17" s="16"/>
      <c r="J17" s="16"/>
      <c r="K17" s="46"/>
      <c r="L17" s="46"/>
      <c r="M17" s="46"/>
      <c r="N17" s="50"/>
      <c r="O17" s="50"/>
      <c r="P17" s="50"/>
    </row>
    <row r="18" spans="1:16" x14ac:dyDescent="0.2">
      <c r="A18" s="87" t="s">
        <v>19</v>
      </c>
      <c r="B18" s="40">
        <v>6400</v>
      </c>
      <c r="C18" s="88">
        <v>6390.1225040995469</v>
      </c>
      <c r="D18" s="89">
        <v>71.986100376775184</v>
      </c>
      <c r="E18" s="89">
        <v>460</v>
      </c>
      <c r="F18" s="111">
        <f t="shared" si="0"/>
        <v>12.519050729370782</v>
      </c>
      <c r="G18" s="74"/>
      <c r="H18" s="16"/>
      <c r="I18" s="16"/>
      <c r="J18" s="16"/>
      <c r="K18" s="46"/>
      <c r="L18" s="46"/>
      <c r="M18" s="46"/>
      <c r="N18" s="50"/>
      <c r="O18" s="50"/>
      <c r="P18" s="50"/>
    </row>
    <row r="19" spans="1:16" x14ac:dyDescent="0.2">
      <c r="A19" s="87" t="s">
        <v>20</v>
      </c>
      <c r="B19" s="40">
        <v>140900</v>
      </c>
      <c r="C19" s="88">
        <v>140682.54075431658</v>
      </c>
      <c r="D19" s="89">
        <v>96.389361714050708</v>
      </c>
      <c r="E19" s="89">
        <v>13560.3003076195</v>
      </c>
      <c r="F19" s="111">
        <f t="shared" si="0"/>
        <v>369.04801620997989</v>
      </c>
      <c r="G19" s="74"/>
      <c r="H19" s="16"/>
      <c r="I19" s="16"/>
      <c r="J19" s="16"/>
      <c r="K19" s="46"/>
      <c r="L19" s="46"/>
      <c r="M19" s="46"/>
      <c r="N19" s="50"/>
      <c r="O19" s="50"/>
      <c r="P19" s="50"/>
    </row>
    <row r="20" spans="1:16" x14ac:dyDescent="0.2">
      <c r="A20" s="87" t="s">
        <v>21</v>
      </c>
      <c r="B20" s="40">
        <v>10800</v>
      </c>
      <c r="C20" s="88">
        <v>10790</v>
      </c>
      <c r="D20" s="89">
        <v>78</v>
      </c>
      <c r="E20" s="89">
        <v>841.62</v>
      </c>
      <c r="F20" s="111">
        <f t="shared" si="0"/>
        <v>22.904964075767474</v>
      </c>
      <c r="G20" s="74"/>
      <c r="H20" s="16"/>
      <c r="I20" s="16"/>
      <c r="J20" s="16"/>
      <c r="K20" s="46"/>
      <c r="L20" s="46"/>
      <c r="M20" s="46"/>
      <c r="N20" s="50"/>
      <c r="O20" s="50"/>
      <c r="P20" s="50"/>
    </row>
    <row r="21" spans="1:16" x14ac:dyDescent="0.2">
      <c r="A21" s="87" t="s">
        <v>22</v>
      </c>
      <c r="B21" s="40">
        <v>81600</v>
      </c>
      <c r="C21" s="88">
        <v>81474.061927269213</v>
      </c>
      <c r="D21" s="89">
        <v>97</v>
      </c>
      <c r="E21" s="89">
        <v>7902.9840069451138</v>
      </c>
      <c r="F21" s="111">
        <f t="shared" si="0"/>
        <v>215.08229933989531</v>
      </c>
      <c r="G21" s="74"/>
      <c r="H21" s="16"/>
      <c r="I21" s="16"/>
      <c r="J21" s="16"/>
      <c r="K21" s="46"/>
      <c r="L21" s="46"/>
      <c r="M21" s="46"/>
      <c r="N21" s="50"/>
      <c r="O21" s="50"/>
      <c r="P21" s="50"/>
    </row>
    <row r="22" spans="1:16" x14ac:dyDescent="0.2">
      <c r="A22" s="87" t="s">
        <v>23</v>
      </c>
      <c r="B22" s="40">
        <v>79400</v>
      </c>
      <c r="C22" s="88">
        <v>79277.457316485001</v>
      </c>
      <c r="D22" s="89">
        <v>84</v>
      </c>
      <c r="E22" s="89">
        <v>6659.3064145847402</v>
      </c>
      <c r="F22" s="111">
        <f t="shared" si="0"/>
        <v>181.23520614480569</v>
      </c>
      <c r="G22" s="74"/>
      <c r="H22" s="16"/>
      <c r="I22" s="16"/>
      <c r="J22" s="16"/>
      <c r="K22" s="46"/>
      <c r="L22" s="46"/>
      <c r="M22" s="46"/>
      <c r="N22" s="50"/>
      <c r="O22" s="50"/>
      <c r="P22" s="50"/>
    </row>
    <row r="23" spans="1:16" x14ac:dyDescent="0.2">
      <c r="A23" s="87" t="s">
        <v>24</v>
      </c>
      <c r="B23" s="40">
        <v>23500</v>
      </c>
      <c r="C23" s="88">
        <v>23463.731069740523</v>
      </c>
      <c r="D23" s="89">
        <v>84</v>
      </c>
      <c r="E23" s="89">
        <v>1970.9534098582039</v>
      </c>
      <c r="F23" s="111">
        <f t="shared" si="0"/>
        <v>53.640142876611257</v>
      </c>
      <c r="G23" s="74"/>
      <c r="H23" s="16"/>
      <c r="I23" s="16"/>
      <c r="J23" s="16"/>
      <c r="K23" s="46"/>
      <c r="L23" s="46"/>
      <c r="M23" s="46"/>
      <c r="N23" s="50"/>
      <c r="O23" s="50"/>
      <c r="P23" s="50"/>
    </row>
    <row r="24" spans="1:16" x14ac:dyDescent="0.2">
      <c r="A24" s="87" t="s">
        <v>25</v>
      </c>
      <c r="B24" s="40">
        <v>60900</v>
      </c>
      <c r="C24" s="88">
        <v>60806.009453072249</v>
      </c>
      <c r="D24" s="89">
        <v>89</v>
      </c>
      <c r="E24" s="89">
        <v>5411.7348413234295</v>
      </c>
      <c r="F24" s="111">
        <f t="shared" si="0"/>
        <v>147.28213698354642</v>
      </c>
      <c r="G24" s="74"/>
      <c r="H24" s="16"/>
      <c r="I24" s="16"/>
      <c r="J24" s="16"/>
      <c r="K24" s="46"/>
      <c r="L24" s="46"/>
      <c r="M24" s="46"/>
      <c r="N24" s="50"/>
      <c r="O24" s="50"/>
      <c r="P24" s="50"/>
    </row>
    <row r="25" spans="1:16" s="17" customFormat="1" ht="15" x14ac:dyDescent="0.25">
      <c r="A25" s="91" t="s">
        <v>26</v>
      </c>
      <c r="B25" s="92">
        <v>508900</v>
      </c>
      <c r="C25" s="93">
        <v>508121.25301437255</v>
      </c>
      <c r="D25" s="94">
        <v>90.85893590897129</v>
      </c>
      <c r="E25" s="94">
        <v>46167.356361619066</v>
      </c>
      <c r="F25" s="112">
        <f t="shared" si="0"/>
        <v>1256.459731156626</v>
      </c>
      <c r="G25" s="74"/>
      <c r="H25" s="16"/>
      <c r="I25" s="16"/>
      <c r="J25" s="16"/>
      <c r="K25" s="47"/>
      <c r="L25" s="46"/>
      <c r="M25" s="47"/>
      <c r="N25" s="50"/>
      <c r="O25" s="50"/>
      <c r="P25" s="50"/>
    </row>
    <row r="26" spans="1:16" x14ac:dyDescent="0.2">
      <c r="A26" s="87" t="s">
        <v>27</v>
      </c>
      <c r="B26" s="40">
        <v>20300</v>
      </c>
      <c r="C26" s="88">
        <v>20268.669817690748</v>
      </c>
      <c r="D26" s="89">
        <v>69.5</v>
      </c>
      <c r="E26" s="89">
        <v>1408.672552329507</v>
      </c>
      <c r="F26" s="111">
        <f t="shared" si="0"/>
        <v>38.337485094968073</v>
      </c>
      <c r="G26" s="74"/>
      <c r="H26" s="16"/>
      <c r="I26" s="16"/>
      <c r="J26" s="16"/>
      <c r="K26" s="46"/>
      <c r="L26" s="46"/>
      <c r="M26" s="46"/>
      <c r="N26" s="50"/>
      <c r="O26" s="50"/>
      <c r="P26" s="50"/>
    </row>
    <row r="27" spans="1:16" x14ac:dyDescent="0.2">
      <c r="A27" s="87" t="s">
        <v>28</v>
      </c>
      <c r="B27" s="118" t="s">
        <v>84</v>
      </c>
      <c r="C27" s="118" t="s">
        <v>84</v>
      </c>
      <c r="D27" s="118" t="s">
        <v>84</v>
      </c>
      <c r="E27" s="118" t="s">
        <v>84</v>
      </c>
      <c r="F27" s="97"/>
      <c r="G27" s="74"/>
      <c r="H27" s="16"/>
      <c r="I27" s="16"/>
      <c r="J27" s="16"/>
      <c r="K27" s="46"/>
      <c r="L27" s="46"/>
      <c r="M27" s="46"/>
      <c r="N27" s="50"/>
      <c r="O27" s="50"/>
      <c r="P27" s="50"/>
    </row>
    <row r="28" spans="1:16" x14ac:dyDescent="0.2">
      <c r="A28" s="87" t="s">
        <v>29</v>
      </c>
      <c r="B28" s="40">
        <v>8200</v>
      </c>
      <c r="C28" s="88">
        <v>8187.3444583775445</v>
      </c>
      <c r="D28" s="89">
        <v>58.9</v>
      </c>
      <c r="E28" s="89">
        <v>482.23458859843737</v>
      </c>
      <c r="F28" s="97">
        <f t="shared" si="0"/>
        <v>13.124172343741492</v>
      </c>
      <c r="G28" s="74"/>
      <c r="H28" s="16"/>
      <c r="I28" s="16"/>
      <c r="J28" s="16"/>
      <c r="K28" s="46"/>
      <c r="L28" s="46"/>
      <c r="M28" s="46"/>
      <c r="N28" s="50"/>
      <c r="O28" s="50"/>
      <c r="P28" s="50"/>
    </row>
    <row r="29" spans="1:16" x14ac:dyDescent="0.2">
      <c r="A29" s="87" t="s">
        <v>30</v>
      </c>
      <c r="B29" s="40">
        <v>10500</v>
      </c>
      <c r="C29" s="88">
        <v>10483.79473328832</v>
      </c>
      <c r="D29" s="89">
        <v>58.5</v>
      </c>
      <c r="E29" s="89">
        <v>613.30199189736675</v>
      </c>
      <c r="F29" s="111">
        <f t="shared" si="0"/>
        <v>16.691214671711485</v>
      </c>
      <c r="G29" s="74"/>
      <c r="H29" s="16"/>
      <c r="I29" s="16"/>
      <c r="J29" s="16"/>
      <c r="K29" s="46"/>
      <c r="L29" s="46"/>
      <c r="M29" s="46"/>
      <c r="N29" s="50"/>
      <c r="O29" s="50"/>
      <c r="P29" s="50"/>
    </row>
    <row r="30" spans="1:16" x14ac:dyDescent="0.2">
      <c r="A30" s="87" t="s">
        <v>31</v>
      </c>
      <c r="B30" s="118" t="s">
        <v>84</v>
      </c>
      <c r="C30" s="118" t="s">
        <v>84</v>
      </c>
      <c r="D30" s="118" t="s">
        <v>84</v>
      </c>
      <c r="E30" s="118" t="s">
        <v>84</v>
      </c>
      <c r="F30" s="97"/>
      <c r="G30" s="74"/>
      <c r="H30" s="16"/>
      <c r="I30" s="16"/>
      <c r="J30" s="16"/>
      <c r="K30" s="46"/>
      <c r="L30" s="46"/>
      <c r="M30" s="46"/>
      <c r="N30" s="50"/>
      <c r="O30" s="50"/>
      <c r="P30" s="50"/>
    </row>
    <row r="31" spans="1:16" x14ac:dyDescent="0.2">
      <c r="A31" s="87" t="s">
        <v>32</v>
      </c>
      <c r="B31" s="40">
        <v>9000</v>
      </c>
      <c r="C31" s="88">
        <v>8986.1097713899871</v>
      </c>
      <c r="D31" s="89">
        <v>63.4</v>
      </c>
      <c r="E31" s="89">
        <v>569.71935950612522</v>
      </c>
      <c r="F31" s="97">
        <f t="shared" si="0"/>
        <v>15.505099050351765</v>
      </c>
      <c r="G31" s="74"/>
      <c r="H31" s="16"/>
      <c r="I31" s="16"/>
      <c r="J31" s="16"/>
      <c r="K31" s="46"/>
      <c r="L31" s="46"/>
      <c r="M31" s="46"/>
      <c r="N31" s="50"/>
      <c r="O31" s="50"/>
      <c r="P31" s="50"/>
    </row>
    <row r="32" spans="1:16" x14ac:dyDescent="0.2">
      <c r="A32" s="87" t="s">
        <v>33</v>
      </c>
      <c r="B32" s="118" t="s">
        <v>84</v>
      </c>
      <c r="C32" s="118" t="s">
        <v>84</v>
      </c>
      <c r="D32" s="118" t="s">
        <v>84</v>
      </c>
      <c r="E32" s="118" t="s">
        <v>84</v>
      </c>
      <c r="F32" s="97"/>
      <c r="G32" s="74"/>
      <c r="H32" s="16"/>
      <c r="I32" s="16"/>
      <c r="J32" s="16"/>
      <c r="K32" s="46"/>
      <c r="L32" s="46"/>
      <c r="M32" s="46"/>
      <c r="N32" s="50"/>
      <c r="O32" s="50"/>
      <c r="P32" s="50"/>
    </row>
    <row r="33" spans="1:16" x14ac:dyDescent="0.2">
      <c r="A33" s="87" t="s">
        <v>34</v>
      </c>
      <c r="B33" s="40">
        <v>9900</v>
      </c>
      <c r="C33" s="88">
        <v>9884.7207485289855</v>
      </c>
      <c r="D33" s="89">
        <v>55.1</v>
      </c>
      <c r="E33" s="89">
        <v>544.64811324394714</v>
      </c>
      <c r="F33" s="97">
        <f t="shared" si="0"/>
        <v>14.822776868167514</v>
      </c>
      <c r="G33" s="74"/>
      <c r="H33" s="16"/>
      <c r="I33" s="16"/>
      <c r="J33" s="16"/>
      <c r="K33" s="46"/>
      <c r="L33" s="46"/>
      <c r="M33" s="46"/>
      <c r="N33" s="50"/>
      <c r="O33" s="50"/>
      <c r="P33" s="50"/>
    </row>
    <row r="34" spans="1:16" x14ac:dyDescent="0.2">
      <c r="A34" s="87" t="s">
        <v>35</v>
      </c>
      <c r="B34" s="40">
        <v>12000</v>
      </c>
      <c r="C34" s="88">
        <v>11981.47969518665</v>
      </c>
      <c r="D34" s="89">
        <v>59.3</v>
      </c>
      <c r="E34" s="89">
        <v>710.50174592456824</v>
      </c>
      <c r="F34" s="97">
        <f t="shared" si="0"/>
        <v>19.336537827252563</v>
      </c>
      <c r="G34" s="74"/>
      <c r="H34" s="16"/>
      <c r="I34" s="16"/>
      <c r="J34" s="16"/>
      <c r="K34" s="46"/>
      <c r="L34" s="46"/>
      <c r="M34" s="46"/>
      <c r="N34" s="50"/>
      <c r="O34" s="50"/>
      <c r="P34" s="50"/>
    </row>
    <row r="35" spans="1:16" x14ac:dyDescent="0.2">
      <c r="A35" s="87" t="s">
        <v>36</v>
      </c>
      <c r="B35" s="40">
        <v>5000</v>
      </c>
      <c r="C35" s="88">
        <v>4992.283206327771</v>
      </c>
      <c r="D35" s="89">
        <v>67</v>
      </c>
      <c r="E35" s="89">
        <v>334.48297482396066</v>
      </c>
      <c r="F35" s="97">
        <f t="shared" si="0"/>
        <v>9.1030637607217688</v>
      </c>
      <c r="G35" s="74"/>
      <c r="H35" s="16"/>
      <c r="I35" s="16"/>
      <c r="J35" s="16"/>
      <c r="K35" s="46"/>
      <c r="L35" s="46"/>
      <c r="M35" s="46"/>
      <c r="N35" s="50"/>
      <c r="O35" s="50"/>
      <c r="P35" s="50"/>
    </row>
    <row r="36" spans="1:16" s="17" customFormat="1" ht="15" x14ac:dyDescent="0.25">
      <c r="A36" s="91" t="s">
        <v>37</v>
      </c>
      <c r="B36" s="92">
        <v>84731.771519659931</v>
      </c>
      <c r="C36" s="93">
        <v>84601</v>
      </c>
      <c r="D36" s="94">
        <v>60.376165766362099</v>
      </c>
      <c r="E36" s="94">
        <v>5107.884</v>
      </c>
      <c r="F36" s="98">
        <f t="shared" si="0"/>
        <v>139.01273677335075</v>
      </c>
      <c r="G36" s="74"/>
      <c r="H36" s="16"/>
      <c r="I36" s="16"/>
      <c r="J36" s="16"/>
      <c r="K36" s="47"/>
      <c r="L36" s="46"/>
      <c r="M36" s="47"/>
      <c r="N36" s="50"/>
      <c r="O36" s="50"/>
      <c r="P36" s="50"/>
    </row>
    <row r="37" spans="1:16" x14ac:dyDescent="0.2">
      <c r="A37" s="87" t="s">
        <v>38</v>
      </c>
      <c r="B37" s="40">
        <v>1000</v>
      </c>
      <c r="C37" s="88">
        <v>998.45664126555414</v>
      </c>
      <c r="D37" s="89">
        <v>56.4</v>
      </c>
      <c r="E37" s="89">
        <v>56.312954567377254</v>
      </c>
      <c r="F37" s="97">
        <f t="shared" si="0"/>
        <v>1.5325755107603216</v>
      </c>
      <c r="G37" s="74"/>
      <c r="H37" s="16"/>
      <c r="I37" s="16"/>
      <c r="J37" s="16"/>
      <c r="K37" s="46"/>
      <c r="L37" s="46"/>
      <c r="M37" s="46"/>
      <c r="N37" s="50"/>
      <c r="O37" s="50"/>
      <c r="P37" s="50"/>
    </row>
    <row r="38" spans="1:16" x14ac:dyDescent="0.2">
      <c r="A38" s="87" t="s">
        <v>39</v>
      </c>
      <c r="B38" s="40">
        <v>0</v>
      </c>
      <c r="C38" s="88">
        <v>0</v>
      </c>
      <c r="D38" s="88">
        <v>0</v>
      </c>
      <c r="E38" s="89">
        <v>0</v>
      </c>
      <c r="F38" s="97">
        <f t="shared" si="0"/>
        <v>0</v>
      </c>
      <c r="G38" s="74"/>
      <c r="H38" s="16"/>
      <c r="I38" s="16"/>
      <c r="J38" s="16"/>
      <c r="K38" s="46"/>
      <c r="L38" s="46"/>
      <c r="M38" s="46"/>
      <c r="N38" s="50"/>
      <c r="O38" s="50"/>
      <c r="P38" s="50"/>
    </row>
    <row r="39" spans="1:16" x14ac:dyDescent="0.2">
      <c r="A39" s="87" t="s">
        <v>40</v>
      </c>
      <c r="B39" s="40">
        <v>2500</v>
      </c>
      <c r="C39" s="88">
        <v>2496.1416031638855</v>
      </c>
      <c r="D39" s="89">
        <v>50.3</v>
      </c>
      <c r="E39" s="89">
        <v>125.55592263914343</v>
      </c>
      <c r="F39" s="97">
        <f t="shared" si="0"/>
        <v>3.4170455758530216</v>
      </c>
      <c r="G39" s="74"/>
      <c r="H39" s="16"/>
      <c r="I39" s="16"/>
      <c r="J39" s="16"/>
      <c r="K39" s="46"/>
      <c r="L39" s="46"/>
      <c r="M39" s="46"/>
      <c r="N39" s="50"/>
      <c r="O39" s="50"/>
      <c r="P39" s="50"/>
    </row>
    <row r="40" spans="1:16" x14ac:dyDescent="0.2">
      <c r="A40" s="87" t="s">
        <v>41</v>
      </c>
      <c r="B40" s="40">
        <v>4700</v>
      </c>
      <c r="C40" s="88">
        <v>4692.7462139481049</v>
      </c>
      <c r="D40" s="89">
        <v>60.5</v>
      </c>
      <c r="E40" s="89">
        <v>283.91114594386033</v>
      </c>
      <c r="F40" s="97">
        <f t="shared" si="0"/>
        <v>7.7267348667499549</v>
      </c>
      <c r="G40" s="74"/>
      <c r="H40" s="16"/>
      <c r="I40" s="16"/>
      <c r="J40" s="16"/>
      <c r="K40" s="46"/>
      <c r="L40" s="46"/>
      <c r="M40" s="46"/>
      <c r="N40" s="50"/>
      <c r="O40" s="50"/>
      <c r="P40" s="50"/>
    </row>
    <row r="41" spans="1:16" x14ac:dyDescent="0.2">
      <c r="A41" s="87" t="s">
        <v>42</v>
      </c>
      <c r="B41" s="40">
        <v>4300</v>
      </c>
      <c r="C41" s="88">
        <v>4293.3635574418831</v>
      </c>
      <c r="D41" s="89">
        <v>46</v>
      </c>
      <c r="E41" s="89">
        <v>197.49472364232662</v>
      </c>
      <c r="F41" s="97">
        <f t="shared" si="0"/>
        <v>5.3748836175246737</v>
      </c>
      <c r="G41" s="74"/>
      <c r="H41" s="16"/>
      <c r="I41" s="16"/>
      <c r="J41" s="16"/>
      <c r="K41" s="46"/>
      <c r="L41" s="46"/>
      <c r="M41" s="46"/>
      <c r="N41" s="50"/>
      <c r="O41" s="50"/>
      <c r="P41" s="50"/>
    </row>
    <row r="42" spans="1:16" x14ac:dyDescent="0.2">
      <c r="A42" s="87" t="s">
        <v>43</v>
      </c>
      <c r="B42" s="40">
        <v>1400</v>
      </c>
      <c r="C42" s="88">
        <v>1397.8392977717758</v>
      </c>
      <c r="D42" s="89">
        <v>35</v>
      </c>
      <c r="E42" s="89">
        <v>48.924375422012155</v>
      </c>
      <c r="F42" s="97">
        <f t="shared" si="0"/>
        <v>1.3314929082846765</v>
      </c>
      <c r="G42" s="74"/>
      <c r="H42" s="16"/>
      <c r="I42" s="16"/>
      <c r="J42" s="16"/>
      <c r="K42" s="46"/>
      <c r="L42" s="46"/>
      <c r="M42" s="46"/>
      <c r="N42" s="50"/>
      <c r="O42" s="50"/>
      <c r="P42" s="50"/>
    </row>
    <row r="43" spans="1:16" x14ac:dyDescent="0.2">
      <c r="A43" s="87" t="s">
        <v>44</v>
      </c>
      <c r="B43" s="40">
        <v>2000</v>
      </c>
      <c r="C43" s="88">
        <v>1990</v>
      </c>
      <c r="D43" s="89">
        <v>55.844999999999999</v>
      </c>
      <c r="E43" s="89">
        <v>111.13155</v>
      </c>
      <c r="F43" s="97">
        <f t="shared" si="0"/>
        <v>3.024481548007838</v>
      </c>
      <c r="G43" s="74"/>
      <c r="H43" s="16"/>
      <c r="I43" s="16"/>
      <c r="J43" s="16"/>
      <c r="K43" s="46"/>
      <c r="L43" s="46"/>
      <c r="M43" s="46"/>
      <c r="N43" s="50"/>
      <c r="O43" s="50"/>
      <c r="P43" s="50"/>
    </row>
    <row r="44" spans="1:16" x14ac:dyDescent="0.2">
      <c r="A44" s="87" t="s">
        <v>45</v>
      </c>
      <c r="B44" s="40">
        <v>5940</v>
      </c>
      <c r="C44" s="88">
        <v>5930</v>
      </c>
      <c r="D44" s="89">
        <v>49</v>
      </c>
      <c r="E44" s="89">
        <v>290.57</v>
      </c>
      <c r="F44" s="97">
        <f t="shared" si="0"/>
        <v>7.9079577618114518</v>
      </c>
      <c r="G44" s="74"/>
      <c r="H44" s="16"/>
      <c r="I44" s="16"/>
      <c r="J44" s="16"/>
      <c r="K44" s="46"/>
      <c r="L44" s="46"/>
      <c r="M44" s="46"/>
      <c r="N44" s="50"/>
      <c r="O44" s="50"/>
      <c r="P44" s="50"/>
    </row>
    <row r="45" spans="1:16" s="17" customFormat="1" ht="15" x14ac:dyDescent="0.25">
      <c r="A45" s="91" t="s">
        <v>46</v>
      </c>
      <c r="B45" s="92">
        <v>21840</v>
      </c>
      <c r="C45" s="93">
        <v>21798.547313591203</v>
      </c>
      <c r="D45" s="94">
        <v>51.099766245442083</v>
      </c>
      <c r="E45" s="94">
        <v>1113.9006722147199</v>
      </c>
      <c r="F45" s="98">
        <f t="shared" si="0"/>
        <v>30.31517178899194</v>
      </c>
      <c r="G45" s="74"/>
      <c r="H45" s="16"/>
      <c r="I45" s="16"/>
      <c r="J45" s="16"/>
      <c r="K45" s="47"/>
      <c r="L45" s="46"/>
      <c r="M45" s="47"/>
      <c r="N45" s="50"/>
      <c r="O45" s="50"/>
      <c r="P45" s="50"/>
    </row>
    <row r="46" spans="1:16" x14ac:dyDescent="0.2">
      <c r="A46" s="87" t="s">
        <v>47</v>
      </c>
      <c r="B46" s="118">
        <v>500</v>
      </c>
      <c r="C46" s="118">
        <v>500</v>
      </c>
      <c r="D46" s="118">
        <v>84</v>
      </c>
      <c r="E46" s="118">
        <v>42</v>
      </c>
      <c r="F46" s="97">
        <f t="shared" si="0"/>
        <v>1.1430437622468974</v>
      </c>
      <c r="G46" s="74"/>
      <c r="H46" s="16"/>
      <c r="I46" s="16"/>
      <c r="J46" s="16"/>
      <c r="K46" s="46"/>
      <c r="L46" s="46"/>
      <c r="M46" s="46"/>
      <c r="N46" s="50"/>
      <c r="O46" s="50"/>
      <c r="P46" s="50"/>
    </row>
    <row r="47" spans="1:16" x14ac:dyDescent="0.2">
      <c r="A47" s="87" t="s">
        <v>48</v>
      </c>
      <c r="B47" s="40">
        <v>500</v>
      </c>
      <c r="C47" s="40">
        <v>500</v>
      </c>
      <c r="D47" s="113">
        <v>68.8</v>
      </c>
      <c r="E47" s="113">
        <v>34.4</v>
      </c>
      <c r="F47" s="97">
        <f t="shared" si="0"/>
        <v>0.93620727193555409</v>
      </c>
      <c r="G47" s="74"/>
      <c r="H47" s="16"/>
      <c r="I47" s="16"/>
      <c r="J47" s="16"/>
      <c r="K47" s="46"/>
      <c r="L47" s="46"/>
      <c r="M47" s="46"/>
      <c r="N47" s="50"/>
      <c r="O47" s="50"/>
      <c r="P47" s="50"/>
    </row>
    <row r="48" spans="1:16" x14ac:dyDescent="0.2">
      <c r="A48" s="99" t="s">
        <v>49</v>
      </c>
      <c r="B48" s="118" t="s">
        <v>84</v>
      </c>
      <c r="C48" s="118" t="s">
        <v>84</v>
      </c>
      <c r="D48" s="118" t="s">
        <v>84</v>
      </c>
      <c r="E48" s="118" t="s">
        <v>84</v>
      </c>
      <c r="F48" s="97" t="e">
        <f t="shared" si="0"/>
        <v>#VALUE!</v>
      </c>
      <c r="G48" s="74"/>
      <c r="H48" s="16"/>
      <c r="I48" s="16"/>
      <c r="J48" s="16"/>
      <c r="K48" s="46"/>
      <c r="L48" s="46"/>
      <c r="M48" s="46"/>
      <c r="N48" s="50"/>
      <c r="O48" s="50"/>
      <c r="P48" s="50"/>
    </row>
    <row r="49" spans="1:16" x14ac:dyDescent="0.2">
      <c r="A49" s="87" t="s">
        <v>50</v>
      </c>
      <c r="B49" s="40">
        <v>0</v>
      </c>
      <c r="C49" s="40">
        <v>0</v>
      </c>
      <c r="D49" s="40">
        <v>0</v>
      </c>
      <c r="E49" s="113">
        <v>0</v>
      </c>
      <c r="F49" s="97"/>
      <c r="G49" s="74"/>
      <c r="H49" s="16"/>
      <c r="I49" s="16"/>
      <c r="J49" s="16"/>
      <c r="K49" s="46"/>
      <c r="L49" s="46"/>
      <c r="M49" s="46"/>
      <c r="N49" s="50"/>
      <c r="O49" s="50"/>
      <c r="P49" s="50"/>
    </row>
    <row r="50" spans="1:16" x14ac:dyDescent="0.2">
      <c r="A50" s="87" t="s">
        <v>51</v>
      </c>
      <c r="B50" s="40">
        <v>150</v>
      </c>
      <c r="C50" s="40">
        <v>150</v>
      </c>
      <c r="D50" s="113">
        <v>76.7</v>
      </c>
      <c r="E50" s="113">
        <f>+D50*C50/1000</f>
        <v>11.505000000000001</v>
      </c>
      <c r="F50" s="97">
        <f t="shared" si="0"/>
        <v>0.31311234487263229</v>
      </c>
      <c r="G50" s="74"/>
      <c r="H50" s="16"/>
      <c r="I50" s="16"/>
      <c r="J50" s="16"/>
      <c r="K50" s="46"/>
      <c r="L50" s="46"/>
      <c r="M50" s="46"/>
      <c r="N50" s="50"/>
      <c r="O50" s="50"/>
      <c r="P50" s="50"/>
    </row>
    <row r="51" spans="1:16" x14ac:dyDescent="0.2">
      <c r="A51" s="87" t="s">
        <v>52</v>
      </c>
      <c r="B51" s="40">
        <v>0</v>
      </c>
      <c r="C51" s="88">
        <v>0</v>
      </c>
      <c r="D51" s="89"/>
      <c r="E51" s="89">
        <v>0</v>
      </c>
      <c r="F51" s="97">
        <f t="shared" si="0"/>
        <v>0</v>
      </c>
      <c r="G51" s="74"/>
      <c r="H51" s="16"/>
      <c r="I51" s="16"/>
      <c r="J51" s="16"/>
      <c r="K51" s="46"/>
      <c r="L51" s="46"/>
      <c r="M51" s="46"/>
      <c r="N51" s="50"/>
      <c r="O51" s="50"/>
      <c r="P51" s="50"/>
    </row>
    <row r="52" spans="1:16" x14ac:dyDescent="0.2">
      <c r="A52" s="87" t="s">
        <v>53</v>
      </c>
      <c r="B52" s="118" t="s">
        <v>84</v>
      </c>
      <c r="C52" s="118" t="s">
        <v>84</v>
      </c>
      <c r="D52" s="118" t="s">
        <v>84</v>
      </c>
      <c r="E52" s="118" t="s">
        <v>84</v>
      </c>
      <c r="F52" s="97"/>
      <c r="G52" s="74"/>
      <c r="H52" s="16"/>
      <c r="I52" s="16"/>
      <c r="J52" s="16"/>
      <c r="K52" s="46"/>
      <c r="L52" s="46"/>
      <c r="M52" s="46"/>
      <c r="N52" s="50"/>
      <c r="O52" s="50"/>
      <c r="P52" s="50"/>
    </row>
    <row r="53" spans="1:16" x14ac:dyDescent="0.2">
      <c r="A53" s="87" t="s">
        <v>54</v>
      </c>
      <c r="B53" s="40">
        <v>0</v>
      </c>
      <c r="C53" s="40">
        <v>0</v>
      </c>
      <c r="D53" s="40">
        <v>0</v>
      </c>
      <c r="E53" s="113">
        <v>0</v>
      </c>
      <c r="F53" s="97"/>
      <c r="G53" s="74"/>
      <c r="H53" s="16"/>
      <c r="I53" s="16"/>
      <c r="J53" s="16"/>
      <c r="K53" s="46"/>
      <c r="L53" s="46"/>
      <c r="M53" s="46"/>
      <c r="N53" s="50"/>
      <c r="O53" s="50"/>
      <c r="P53" s="50"/>
    </row>
    <row r="54" spans="1:16" x14ac:dyDescent="0.2">
      <c r="A54" s="87" t="s">
        <v>55</v>
      </c>
      <c r="B54" s="118" t="s">
        <v>84</v>
      </c>
      <c r="C54" s="118" t="s">
        <v>84</v>
      </c>
      <c r="D54" s="118" t="s">
        <v>84</v>
      </c>
      <c r="E54" s="118" t="s">
        <v>84</v>
      </c>
      <c r="F54" s="97"/>
      <c r="G54" s="74"/>
      <c r="H54" s="16"/>
      <c r="I54" s="16"/>
      <c r="J54" s="16"/>
      <c r="K54" s="46"/>
      <c r="L54" s="46"/>
      <c r="M54" s="46"/>
      <c r="N54" s="50"/>
      <c r="O54" s="50"/>
      <c r="P54" s="50"/>
    </row>
    <row r="55" spans="1:16" x14ac:dyDescent="0.2">
      <c r="A55" s="87" t="s">
        <v>56</v>
      </c>
      <c r="B55" s="40">
        <v>2900</v>
      </c>
      <c r="C55" s="88">
        <v>2895.5242596701069</v>
      </c>
      <c r="D55" s="89">
        <v>78.900000000000006</v>
      </c>
      <c r="E55" s="89">
        <v>228.45686408797144</v>
      </c>
      <c r="F55" s="97">
        <f t="shared" si="0"/>
        <v>6.217528415196262</v>
      </c>
      <c r="G55" s="74"/>
      <c r="H55" s="16"/>
      <c r="I55" s="16"/>
      <c r="J55" s="16"/>
      <c r="K55" s="46"/>
      <c r="L55" s="46"/>
      <c r="M55" s="46"/>
      <c r="N55" s="50"/>
      <c r="O55" s="50"/>
      <c r="P55" s="50"/>
    </row>
    <row r="56" spans="1:16" s="17" customFormat="1" ht="15" x14ac:dyDescent="0.25">
      <c r="A56" s="91" t="s">
        <v>57</v>
      </c>
      <c r="B56" s="92">
        <v>4528</v>
      </c>
      <c r="C56" s="93">
        <v>4522</v>
      </c>
      <c r="D56" s="94">
        <v>80.937638213180009</v>
      </c>
      <c r="E56" s="94">
        <v>366</v>
      </c>
      <c r="F56" s="112">
        <f t="shared" si="0"/>
        <v>9.9608099281515354</v>
      </c>
      <c r="G56" s="74"/>
      <c r="H56" s="16"/>
      <c r="I56" s="16"/>
      <c r="J56" s="16"/>
      <c r="K56" s="47"/>
      <c r="L56" s="46"/>
      <c r="M56" s="47"/>
      <c r="N56" s="50"/>
      <c r="O56" s="50"/>
      <c r="P56" s="50"/>
    </row>
    <row r="57" spans="1:16" s="17" customFormat="1" ht="15" x14ac:dyDescent="0.25">
      <c r="A57" s="100" t="s">
        <v>0</v>
      </c>
      <c r="B57" s="101">
        <v>1036700</v>
      </c>
      <c r="C57" s="102">
        <v>1035100</v>
      </c>
      <c r="D57" s="103">
        <v>83.006305668193519</v>
      </c>
      <c r="E57" s="103">
        <v>85920</v>
      </c>
      <c r="F57" s="114">
        <f t="shared" si="0"/>
        <v>2338.3409536250815</v>
      </c>
      <c r="G57" s="74"/>
      <c r="H57" s="16"/>
      <c r="I57" s="115"/>
      <c r="J57" s="115"/>
      <c r="K57" s="116"/>
      <c r="L57" s="46"/>
      <c r="M57" s="47"/>
      <c r="N57" s="50"/>
      <c r="O57" s="50"/>
      <c r="P57" s="50"/>
    </row>
    <row r="58" spans="1:16" s="22" customFormat="1" x14ac:dyDescent="0.2">
      <c r="A58" s="1" t="s">
        <v>155</v>
      </c>
      <c r="B58" s="20"/>
      <c r="C58" s="16"/>
      <c r="D58" s="20"/>
      <c r="E58" s="15"/>
      <c r="F58" s="21"/>
      <c r="G58" s="20"/>
      <c r="H58" s="117"/>
      <c r="I58" s="117"/>
      <c r="J58" s="117"/>
      <c r="K58" s="117"/>
      <c r="L58" s="40"/>
      <c r="M58" s="40"/>
      <c r="N58" s="40"/>
    </row>
    <row r="59" spans="1:16" ht="171" x14ac:dyDescent="0.2">
      <c r="A59" s="105" t="s">
        <v>58</v>
      </c>
      <c r="B59" s="119"/>
      <c r="C59" s="119"/>
      <c r="D59" s="119"/>
      <c r="E59" s="119"/>
      <c r="F59" s="119"/>
      <c r="G59" s="3"/>
      <c r="H59" s="3"/>
      <c r="I59" s="3"/>
      <c r="J59" s="3"/>
    </row>
    <row r="60" spans="1:16" ht="15" x14ac:dyDescent="0.2">
      <c r="A60"/>
      <c r="B60" s="6"/>
      <c r="C60" s="6"/>
      <c r="D60" s="8"/>
      <c r="E60" s="12"/>
      <c r="F60" s="14"/>
      <c r="G60" s="3"/>
      <c r="H60" s="3"/>
      <c r="I60" s="3"/>
      <c r="J60" s="3"/>
    </row>
    <row r="61" spans="1:16" ht="15" x14ac:dyDescent="0.25">
      <c r="A61" s="17" t="s">
        <v>60</v>
      </c>
      <c r="B61" s="6"/>
      <c r="C61" s="6"/>
      <c r="D61" s="8"/>
      <c r="E61" s="6"/>
      <c r="F61" s="7"/>
      <c r="G61" s="3"/>
      <c r="H61" s="3"/>
      <c r="I61" s="3"/>
      <c r="J61" s="3"/>
    </row>
    <row r="62" spans="1:16" x14ac:dyDescent="0.2">
      <c r="A62" s="41" t="s">
        <v>154</v>
      </c>
      <c r="B62" s="6"/>
      <c r="C62" s="6"/>
      <c r="D62" s="8"/>
      <c r="E62" s="6"/>
      <c r="F62" s="7"/>
      <c r="G62" s="3"/>
      <c r="H62" s="3"/>
      <c r="I62" s="3"/>
      <c r="J62" s="3"/>
    </row>
    <row r="63" spans="1:16" x14ac:dyDescent="0.2">
      <c r="A63" s="3"/>
      <c r="B63" s="6"/>
      <c r="C63" s="6"/>
      <c r="D63" s="8"/>
      <c r="E63" s="6"/>
      <c r="F63" s="7"/>
      <c r="G63" s="3"/>
      <c r="H63" s="3"/>
      <c r="I63" s="3"/>
      <c r="J63" s="3"/>
    </row>
    <row r="64" spans="1:16" x14ac:dyDescent="0.2">
      <c r="A64" s="3"/>
      <c r="B64" s="6"/>
      <c r="C64" s="6"/>
      <c r="D64" s="8"/>
      <c r="E64" s="6"/>
      <c r="F64" s="7"/>
      <c r="G64" s="3"/>
      <c r="H64" s="3"/>
      <c r="I64" s="3"/>
      <c r="J64" s="3"/>
    </row>
    <row r="65" spans="1:10" x14ac:dyDescent="0.2">
      <c r="A65" s="3"/>
      <c r="B65" s="6"/>
      <c r="C65" s="6"/>
      <c r="D65" s="8"/>
      <c r="E65" s="6"/>
      <c r="F65" s="7"/>
      <c r="G65" s="3"/>
      <c r="H65" s="3"/>
      <c r="I65" s="3"/>
      <c r="J65" s="3"/>
    </row>
    <row r="66" spans="1:10" x14ac:dyDescent="0.2">
      <c r="A66" s="3"/>
      <c r="B66" s="6"/>
      <c r="C66" s="6"/>
      <c r="D66" s="8"/>
      <c r="E66" s="6"/>
      <c r="F66" s="7"/>
      <c r="G66" s="3"/>
      <c r="H66" s="3"/>
      <c r="I66" s="3"/>
      <c r="J66" s="3"/>
    </row>
    <row r="67" spans="1:10" x14ac:dyDescent="0.2">
      <c r="A67" s="3"/>
      <c r="B67" s="6"/>
      <c r="C67" s="6"/>
      <c r="D67" s="8"/>
      <c r="E67" s="6"/>
      <c r="F67" s="7"/>
      <c r="G67" s="3"/>
      <c r="H67" s="3"/>
      <c r="I67" s="3"/>
      <c r="J67" s="3"/>
    </row>
    <row r="68" spans="1:10" x14ac:dyDescent="0.2">
      <c r="A68" s="3"/>
      <c r="B68" s="6"/>
      <c r="C68" s="6"/>
      <c r="D68" s="8"/>
      <c r="E68" s="6"/>
      <c r="F68" s="7"/>
      <c r="G68" s="3"/>
      <c r="H68" s="3"/>
      <c r="I68" s="3"/>
      <c r="J68" s="3"/>
    </row>
    <row r="69" spans="1:10" x14ac:dyDescent="0.2">
      <c r="A69" s="3"/>
      <c r="B69" s="6"/>
      <c r="C69" s="6"/>
      <c r="D69" s="8"/>
      <c r="E69" s="6"/>
      <c r="F69" s="7"/>
      <c r="G69" s="3"/>
      <c r="H69" s="3"/>
      <c r="I69" s="3"/>
      <c r="J69" s="3"/>
    </row>
    <row r="70" spans="1:10" x14ac:dyDescent="0.2">
      <c r="A70" s="3"/>
      <c r="B70" s="3"/>
      <c r="C70" s="3"/>
      <c r="D70" s="3"/>
      <c r="E70" s="6"/>
      <c r="F70" s="7"/>
      <c r="G70" s="3"/>
      <c r="H70" s="3"/>
      <c r="I70" s="3"/>
      <c r="J70" s="3"/>
    </row>
    <row r="71" spans="1:10" x14ac:dyDescent="0.2">
      <c r="A71" s="3"/>
      <c r="B71" s="3"/>
      <c r="C71" s="3"/>
      <c r="D71" s="3"/>
      <c r="E71" s="6"/>
      <c r="F71" s="7"/>
      <c r="G71" s="3"/>
      <c r="H71" s="3"/>
      <c r="I71" s="3"/>
      <c r="J71" s="3"/>
    </row>
    <row r="72" spans="1:10" x14ac:dyDescent="0.2">
      <c r="A72" s="3"/>
      <c r="B72" s="3"/>
      <c r="C72" s="3"/>
      <c r="D72" s="3"/>
      <c r="E72" s="6"/>
      <c r="F72" s="7"/>
      <c r="G72" s="3"/>
      <c r="H72" s="3"/>
      <c r="I72" s="3"/>
      <c r="J72" s="3"/>
    </row>
    <row r="73" spans="1:10" x14ac:dyDescent="0.2">
      <c r="A73" s="3"/>
      <c r="B73" s="3"/>
      <c r="C73" s="3"/>
      <c r="D73" s="3"/>
      <c r="E73" s="6"/>
      <c r="F73" s="7"/>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E80" s="3"/>
      <c r="F80" s="3"/>
      <c r="G80" s="3"/>
      <c r="H80" s="3"/>
      <c r="I80" s="3"/>
      <c r="J80" s="3"/>
    </row>
    <row r="81" spans="1:10" x14ac:dyDescent="0.2">
      <c r="A81" s="3"/>
      <c r="E81" s="3"/>
      <c r="F81" s="3"/>
      <c r="G81" s="3"/>
      <c r="H81" s="3"/>
      <c r="I81" s="3"/>
      <c r="J81" s="3"/>
    </row>
    <row r="82" spans="1:10" x14ac:dyDescent="0.2">
      <c r="A82" s="3"/>
      <c r="E82" s="3"/>
      <c r="F82" s="3"/>
      <c r="G82" s="3"/>
      <c r="H82" s="3"/>
      <c r="I82" s="3"/>
      <c r="J82" s="3"/>
    </row>
    <row r="83" spans="1:10" x14ac:dyDescent="0.2">
      <c r="A83" s="3"/>
      <c r="E83" s="3"/>
      <c r="F83" s="3"/>
      <c r="G83" s="3"/>
      <c r="H83" s="3"/>
      <c r="I83" s="3"/>
      <c r="J83" s="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52B1-6F5F-44F6-B3F7-224C346D027A}">
  <dimension ref="A1:P83"/>
  <sheetViews>
    <sheetView workbookViewId="0">
      <selection sqref="A1:XFD1048576"/>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0" width="9.77734375" style="1"/>
    <col min="11" max="12" width="10.21875" style="1" bestFit="1" customWidth="1"/>
    <col min="13" max="13" width="9.88671875" style="1" bestFit="1" customWidth="1"/>
    <col min="14" max="14" width="12.44140625" style="1" bestFit="1" customWidth="1"/>
    <col min="15" max="16384" width="9.77734375" style="1"/>
  </cols>
  <sheetData>
    <row r="1" spans="1:16" ht="18" x14ac:dyDescent="0.25">
      <c r="A1" s="106" t="s">
        <v>151</v>
      </c>
    </row>
    <row r="2" spans="1:16" ht="15" x14ac:dyDescent="0.25">
      <c r="A2" s="80" t="s">
        <v>149</v>
      </c>
      <c r="B2" s="81"/>
      <c r="C2" s="81"/>
      <c r="D2" s="81"/>
      <c r="E2" s="81"/>
      <c r="F2" s="81"/>
      <c r="G2" s="3"/>
      <c r="H2" s="3"/>
      <c r="I2" s="3"/>
      <c r="J2" s="3"/>
    </row>
    <row r="3" spans="1:16" ht="47.25" customHeight="1" thickBot="1" x14ac:dyDescent="0.3">
      <c r="A3" s="82"/>
      <c r="B3" s="83" t="s">
        <v>59</v>
      </c>
      <c r="C3" s="84" t="s">
        <v>2</v>
      </c>
      <c r="D3" s="85" t="s">
        <v>3</v>
      </c>
      <c r="E3" s="84" t="s">
        <v>4</v>
      </c>
      <c r="F3" s="86" t="s">
        <v>1</v>
      </c>
      <c r="G3" s="3"/>
      <c r="H3" s="3"/>
      <c r="I3" s="3"/>
      <c r="J3" s="3"/>
    </row>
    <row r="4" spans="1:16" x14ac:dyDescent="0.2">
      <c r="A4" s="87" t="s">
        <v>5</v>
      </c>
      <c r="B4" s="40">
        <v>7700</v>
      </c>
      <c r="C4" s="88">
        <v>7700</v>
      </c>
      <c r="D4" s="89">
        <v>70.338812953177751</v>
      </c>
      <c r="E4" s="89">
        <v>541.6088597394687</v>
      </c>
      <c r="F4" s="111">
        <f>+E4/36.744</f>
        <v>14.740062588163202</v>
      </c>
      <c r="G4" s="74"/>
      <c r="H4" s="16"/>
      <c r="I4" s="16"/>
      <c r="J4" s="16"/>
      <c r="K4" s="46"/>
      <c r="L4" s="46"/>
      <c r="M4" s="46"/>
      <c r="N4" s="50"/>
      <c r="O4" s="50"/>
      <c r="P4" s="50"/>
    </row>
    <row r="5" spans="1:16" x14ac:dyDescent="0.2">
      <c r="A5" s="87" t="s">
        <v>6</v>
      </c>
      <c r="B5" s="40">
        <v>41800.000000000007</v>
      </c>
      <c r="C5" s="88">
        <v>41800.000000000007</v>
      </c>
      <c r="D5" s="89">
        <v>89.245893178421312</v>
      </c>
      <c r="E5" s="89">
        <v>3730.4783348580113</v>
      </c>
      <c r="F5" s="111">
        <f t="shared" ref="F5:F57" si="0">+E5/36.744</f>
        <v>101.5261902584915</v>
      </c>
      <c r="G5" s="74"/>
      <c r="H5" s="16"/>
      <c r="I5" s="16"/>
      <c r="J5" s="16"/>
      <c r="K5" s="46"/>
      <c r="L5" s="46"/>
      <c r="M5" s="46"/>
      <c r="N5" s="50"/>
      <c r="O5" s="50"/>
      <c r="P5" s="50"/>
    </row>
    <row r="6" spans="1:16" x14ac:dyDescent="0.2">
      <c r="A6" s="87" t="s">
        <v>7</v>
      </c>
      <c r="B6" s="40">
        <v>14700</v>
      </c>
      <c r="C6" s="88">
        <v>14700</v>
      </c>
      <c r="D6" s="89">
        <v>83.617034532700231</v>
      </c>
      <c r="E6" s="89">
        <v>1229.1704076306935</v>
      </c>
      <c r="F6" s="111">
        <f t="shared" si="0"/>
        <v>33.452275409065251</v>
      </c>
      <c r="G6" s="74"/>
      <c r="H6" s="16"/>
      <c r="I6" s="16"/>
      <c r="J6" s="16"/>
      <c r="K6" s="46"/>
      <c r="L6" s="46"/>
      <c r="M6" s="46"/>
      <c r="N6" s="50"/>
      <c r="O6" s="50"/>
      <c r="P6" s="50"/>
    </row>
    <row r="7" spans="1:16" x14ac:dyDescent="0.2">
      <c r="A7" s="87" t="s">
        <v>8</v>
      </c>
      <c r="B7" s="40">
        <v>26600</v>
      </c>
      <c r="C7" s="88">
        <v>26600</v>
      </c>
      <c r="D7" s="89">
        <v>55.953267177089963</v>
      </c>
      <c r="E7" s="89">
        <v>1488.3569069105929</v>
      </c>
      <c r="F7" s="111">
        <f t="shared" si="0"/>
        <v>40.506120915267608</v>
      </c>
      <c r="G7" s="74"/>
      <c r="H7" s="16"/>
      <c r="I7" s="16"/>
      <c r="J7" s="16"/>
      <c r="K7" s="46"/>
      <c r="L7" s="46"/>
      <c r="M7" s="46"/>
      <c r="N7" s="50"/>
      <c r="O7" s="50"/>
      <c r="P7" s="50"/>
    </row>
    <row r="8" spans="1:16" x14ac:dyDescent="0.2">
      <c r="A8" s="87" t="s">
        <v>9</v>
      </c>
      <c r="B8" s="40">
        <v>27900</v>
      </c>
      <c r="C8" s="88">
        <v>27900</v>
      </c>
      <c r="D8" s="89">
        <v>64.713906948170575</v>
      </c>
      <c r="E8" s="89">
        <v>1805.518003853959</v>
      </c>
      <c r="F8" s="111">
        <f t="shared" si="0"/>
        <v>49.137764093565181</v>
      </c>
      <c r="G8" s="74"/>
      <c r="H8" s="16"/>
      <c r="I8" s="16"/>
      <c r="J8" s="16"/>
      <c r="K8" s="46"/>
      <c r="L8" s="46"/>
      <c r="M8" s="46"/>
      <c r="N8" s="50"/>
      <c r="O8" s="50"/>
      <c r="P8" s="50"/>
    </row>
    <row r="9" spans="1:16" x14ac:dyDescent="0.2">
      <c r="A9" s="87" t="s">
        <v>10</v>
      </c>
      <c r="B9" s="40">
        <v>7300</v>
      </c>
      <c r="C9" s="88">
        <v>7300</v>
      </c>
      <c r="D9" s="89">
        <v>57.545104538711648</v>
      </c>
      <c r="E9" s="89">
        <v>420.07926313259503</v>
      </c>
      <c r="F9" s="111">
        <f t="shared" si="0"/>
        <v>11.4325947945949</v>
      </c>
      <c r="G9" s="74"/>
      <c r="H9" s="16"/>
      <c r="I9" s="16"/>
      <c r="J9" s="16"/>
      <c r="K9" s="46"/>
      <c r="L9" s="46"/>
      <c r="M9" s="46"/>
      <c r="N9" s="50"/>
      <c r="O9" s="50"/>
      <c r="P9" s="50"/>
    </row>
    <row r="10" spans="1:16" x14ac:dyDescent="0.2">
      <c r="A10" s="87" t="s">
        <v>11</v>
      </c>
      <c r="B10" s="40">
        <v>36300</v>
      </c>
      <c r="C10" s="88">
        <v>36300</v>
      </c>
      <c r="D10" s="89">
        <v>64.261275389886535</v>
      </c>
      <c r="E10" s="89">
        <v>2332.6842966528811</v>
      </c>
      <c r="F10" s="111">
        <f t="shared" si="0"/>
        <v>63.484767490008743</v>
      </c>
      <c r="G10" s="74"/>
      <c r="H10" s="16"/>
      <c r="I10" s="16"/>
      <c r="J10" s="16"/>
      <c r="K10" s="46"/>
      <c r="L10" s="46"/>
      <c r="M10" s="46"/>
      <c r="N10" s="50"/>
      <c r="O10" s="50"/>
      <c r="P10" s="50"/>
    </row>
    <row r="11" spans="1:16" x14ac:dyDescent="0.2">
      <c r="A11" s="87" t="s">
        <v>12</v>
      </c>
      <c r="B11" s="40">
        <v>32500</v>
      </c>
      <c r="C11" s="88">
        <v>32500</v>
      </c>
      <c r="D11" s="89">
        <v>85.251614303789623</v>
      </c>
      <c r="E11" s="89">
        <v>2770.6774648731625</v>
      </c>
      <c r="F11" s="111">
        <f t="shared" si="0"/>
        <v>75.404895081459898</v>
      </c>
      <c r="G11" s="74"/>
      <c r="H11" s="16"/>
      <c r="I11" s="16"/>
      <c r="J11" s="16"/>
      <c r="K11" s="46"/>
      <c r="L11" s="46"/>
      <c r="M11" s="46"/>
      <c r="N11" s="50"/>
      <c r="O11" s="50"/>
      <c r="P11" s="50"/>
    </row>
    <row r="12" spans="1:16" x14ac:dyDescent="0.2">
      <c r="A12" s="87" t="s">
        <v>13</v>
      </c>
      <c r="B12" s="40">
        <v>17500</v>
      </c>
      <c r="C12" s="88">
        <v>17500</v>
      </c>
      <c r="D12" s="89">
        <v>48.727104324993647</v>
      </c>
      <c r="E12" s="89">
        <v>852.72432568738873</v>
      </c>
      <c r="F12" s="111">
        <f t="shared" si="0"/>
        <v>23.207171937932419</v>
      </c>
      <c r="G12" s="74"/>
      <c r="H12" s="16"/>
      <c r="I12" s="16"/>
      <c r="J12" s="16"/>
      <c r="K12" s="46"/>
      <c r="L12" s="46"/>
      <c r="M12" s="46"/>
      <c r="N12" s="50"/>
      <c r="O12" s="50"/>
      <c r="P12" s="50"/>
    </row>
    <row r="13" spans="1:16" x14ac:dyDescent="0.2">
      <c r="A13" s="87" t="s">
        <v>14</v>
      </c>
      <c r="B13" s="40">
        <v>22700</v>
      </c>
      <c r="C13" s="88">
        <v>22700</v>
      </c>
      <c r="D13" s="89">
        <v>97.740182231773034</v>
      </c>
      <c r="E13" s="89">
        <v>2218.702136661248</v>
      </c>
      <c r="F13" s="111">
        <f t="shared" si="0"/>
        <v>60.382705657011975</v>
      </c>
      <c r="G13" s="74"/>
      <c r="H13" s="16"/>
      <c r="I13" s="16"/>
      <c r="J13" s="16"/>
      <c r="K13" s="46"/>
      <c r="L13" s="46"/>
      <c r="M13" s="46"/>
      <c r="N13" s="50"/>
      <c r="O13" s="50"/>
      <c r="P13" s="50"/>
    </row>
    <row r="14" spans="1:16" s="17" customFormat="1" ht="15" x14ac:dyDescent="0.25">
      <c r="A14" s="91" t="s">
        <v>15</v>
      </c>
      <c r="B14" s="92">
        <v>235000</v>
      </c>
      <c r="C14" s="93">
        <v>235000</v>
      </c>
      <c r="D14" s="94">
        <v>74</v>
      </c>
      <c r="E14" s="94">
        <v>17390</v>
      </c>
      <c r="F14" s="112">
        <f t="shared" si="0"/>
        <v>473.27454822556064</v>
      </c>
      <c r="G14" s="74"/>
      <c r="H14" s="16"/>
      <c r="I14" s="16"/>
      <c r="J14" s="16"/>
      <c r="K14" s="47"/>
      <c r="L14" s="46"/>
      <c r="M14" s="47"/>
      <c r="N14" s="50"/>
      <c r="O14" s="50"/>
      <c r="P14" s="50"/>
    </row>
    <row r="15" spans="1:16" x14ac:dyDescent="0.2">
      <c r="A15" s="87" t="s">
        <v>16</v>
      </c>
      <c r="B15" s="40">
        <v>41500</v>
      </c>
      <c r="C15" s="88">
        <v>41500</v>
      </c>
      <c r="D15" s="89">
        <v>85.626548154520819</v>
      </c>
      <c r="E15" s="89">
        <v>3553.5017484126138</v>
      </c>
      <c r="F15" s="111">
        <f t="shared" si="0"/>
        <v>96.709714468011484</v>
      </c>
      <c r="G15" s="74"/>
      <c r="H15" s="16"/>
      <c r="I15" s="16"/>
      <c r="J15" s="16"/>
      <c r="K15" s="46"/>
      <c r="L15" s="46"/>
      <c r="M15" s="46"/>
      <c r="N15" s="50"/>
      <c r="O15" s="50"/>
      <c r="P15" s="50"/>
    </row>
    <row r="16" spans="1:16" x14ac:dyDescent="0.2">
      <c r="A16" s="87" t="s">
        <v>17</v>
      </c>
      <c r="B16" s="40">
        <v>12900</v>
      </c>
      <c r="C16" s="88">
        <v>12900</v>
      </c>
      <c r="D16" s="89">
        <v>70.67792993490319</v>
      </c>
      <c r="E16" s="89">
        <v>911.74529616025109</v>
      </c>
      <c r="F16" s="111">
        <f t="shared" si="0"/>
        <v>24.813446988902982</v>
      </c>
      <c r="G16" s="74"/>
      <c r="H16" s="16"/>
      <c r="I16" s="16"/>
      <c r="J16" s="16"/>
      <c r="K16" s="46"/>
      <c r="L16" s="46"/>
      <c r="M16" s="46"/>
      <c r="N16" s="50"/>
      <c r="O16" s="50"/>
      <c r="P16" s="50"/>
    </row>
    <row r="17" spans="1:16" x14ac:dyDescent="0.2">
      <c r="A17" s="87" t="s">
        <v>18</v>
      </c>
      <c r="B17" s="40">
        <v>22300</v>
      </c>
      <c r="C17" s="88">
        <v>22300</v>
      </c>
      <c r="D17" s="89">
        <v>80.690421064631195</v>
      </c>
      <c r="E17" s="89">
        <v>1799.3963897412757</v>
      </c>
      <c r="F17" s="111">
        <f t="shared" si="0"/>
        <v>48.971162359603625</v>
      </c>
      <c r="G17" s="74"/>
      <c r="H17" s="16"/>
      <c r="I17" s="16"/>
      <c r="J17" s="16"/>
      <c r="K17" s="46"/>
      <c r="L17" s="46"/>
      <c r="M17" s="46"/>
      <c r="N17" s="50"/>
      <c r="O17" s="50"/>
      <c r="P17" s="50"/>
    </row>
    <row r="18" spans="1:16" x14ac:dyDescent="0.2">
      <c r="A18" s="87" t="s">
        <v>19</v>
      </c>
      <c r="B18" s="40">
        <v>8300</v>
      </c>
      <c r="C18" s="88">
        <v>8300</v>
      </c>
      <c r="D18" s="89">
        <v>54.93660471115993</v>
      </c>
      <c r="E18" s="89">
        <v>455.97381910262737</v>
      </c>
      <c r="F18" s="111">
        <f t="shared" si="0"/>
        <v>12.409476896979843</v>
      </c>
      <c r="G18" s="74"/>
      <c r="H18" s="16"/>
      <c r="I18" s="16"/>
      <c r="J18" s="16"/>
      <c r="K18" s="46"/>
      <c r="L18" s="46"/>
      <c r="M18" s="46"/>
      <c r="N18" s="50"/>
      <c r="O18" s="50"/>
      <c r="P18" s="50"/>
    </row>
    <row r="19" spans="1:16" x14ac:dyDescent="0.2">
      <c r="A19" s="87" t="s">
        <v>20</v>
      </c>
      <c r="B19" s="40">
        <v>94100</v>
      </c>
      <c r="C19" s="88">
        <v>94100</v>
      </c>
      <c r="D19" s="89">
        <v>88.742990399779174</v>
      </c>
      <c r="E19" s="89">
        <v>8350.71539661922</v>
      </c>
      <c r="F19" s="111">
        <f t="shared" si="0"/>
        <v>227.26745581916015</v>
      </c>
      <c r="G19" s="74"/>
      <c r="H19" s="16"/>
      <c r="I19" s="16"/>
      <c r="J19" s="16"/>
      <c r="K19" s="46"/>
      <c r="L19" s="46"/>
      <c r="M19" s="46"/>
      <c r="N19" s="50"/>
      <c r="O19" s="50"/>
      <c r="P19" s="50"/>
    </row>
    <row r="20" spans="1:16" x14ac:dyDescent="0.2">
      <c r="A20" s="87" t="s">
        <v>21</v>
      </c>
      <c r="B20" s="40">
        <v>10300</v>
      </c>
      <c r="C20" s="88">
        <v>10300</v>
      </c>
      <c r="D20" s="89">
        <v>64.279794765283455</v>
      </c>
      <c r="E20" s="89">
        <v>662.08188608241949</v>
      </c>
      <c r="F20" s="111">
        <f t="shared" si="0"/>
        <v>18.018775475789774</v>
      </c>
      <c r="G20" s="74"/>
      <c r="H20" s="16"/>
      <c r="I20" s="16"/>
      <c r="J20" s="16"/>
      <c r="K20" s="46"/>
      <c r="L20" s="46"/>
      <c r="M20" s="46"/>
      <c r="N20" s="50"/>
      <c r="O20" s="50"/>
      <c r="P20" s="50"/>
    </row>
    <row r="21" spans="1:16" x14ac:dyDescent="0.2">
      <c r="A21" s="87" t="s">
        <v>22</v>
      </c>
      <c r="B21" s="40">
        <v>50700</v>
      </c>
      <c r="C21" s="88">
        <v>50700</v>
      </c>
      <c r="D21" s="89">
        <v>89.824007810760733</v>
      </c>
      <c r="E21" s="89">
        <v>4554.077196005569</v>
      </c>
      <c r="F21" s="111">
        <f t="shared" si="0"/>
        <v>123.94070313535731</v>
      </c>
      <c r="G21" s="74"/>
      <c r="H21" s="16"/>
      <c r="I21" s="16"/>
      <c r="J21" s="16"/>
      <c r="K21" s="46"/>
      <c r="L21" s="46"/>
      <c r="M21" s="46"/>
      <c r="N21" s="50"/>
      <c r="O21" s="50"/>
      <c r="P21" s="50"/>
    </row>
    <row r="22" spans="1:16" x14ac:dyDescent="0.2">
      <c r="A22" s="87" t="s">
        <v>23</v>
      </c>
      <c r="B22" s="40">
        <v>40500</v>
      </c>
      <c r="C22" s="88">
        <v>40500</v>
      </c>
      <c r="D22" s="89">
        <v>76.860233137380504</v>
      </c>
      <c r="E22" s="89">
        <v>3112.8394420639106</v>
      </c>
      <c r="F22" s="111">
        <f t="shared" si="0"/>
        <v>84.716945407792039</v>
      </c>
      <c r="G22" s="74"/>
      <c r="H22" s="16"/>
      <c r="I22" s="16"/>
      <c r="J22" s="16"/>
      <c r="K22" s="46"/>
      <c r="L22" s="46"/>
      <c r="M22" s="46"/>
      <c r="N22" s="50"/>
      <c r="O22" s="50"/>
      <c r="P22" s="50"/>
    </row>
    <row r="23" spans="1:16" x14ac:dyDescent="0.2">
      <c r="A23" s="87" t="s">
        <v>24</v>
      </c>
      <c r="B23" s="40">
        <v>8500</v>
      </c>
      <c r="C23" s="88">
        <v>8500</v>
      </c>
      <c r="D23" s="89">
        <v>79.195964252155491</v>
      </c>
      <c r="E23" s="89">
        <v>673.16569614332172</v>
      </c>
      <c r="F23" s="111">
        <f t="shared" si="0"/>
        <v>18.320424998457483</v>
      </c>
      <c r="G23" s="74"/>
      <c r="H23" s="16"/>
      <c r="I23" s="16"/>
      <c r="J23" s="16"/>
      <c r="K23" s="46"/>
      <c r="L23" s="46"/>
      <c r="M23" s="46"/>
      <c r="N23" s="50"/>
      <c r="O23" s="50"/>
      <c r="P23" s="50"/>
    </row>
    <row r="24" spans="1:16" x14ac:dyDescent="0.2">
      <c r="A24" s="87" t="s">
        <v>25</v>
      </c>
      <c r="B24" s="40">
        <v>35500</v>
      </c>
      <c r="C24" s="88">
        <v>35500</v>
      </c>
      <c r="D24" s="89">
        <v>78.968538863909686</v>
      </c>
      <c r="E24" s="89">
        <v>2803.3831296687936</v>
      </c>
      <c r="F24" s="111">
        <f t="shared" si="0"/>
        <v>76.294990465621424</v>
      </c>
      <c r="G24" s="74"/>
      <c r="H24" s="16"/>
      <c r="I24" s="16"/>
      <c r="J24" s="16"/>
      <c r="K24" s="46"/>
      <c r="L24" s="46"/>
      <c r="M24" s="46"/>
      <c r="N24" s="50"/>
      <c r="O24" s="50"/>
      <c r="P24" s="50"/>
    </row>
    <row r="25" spans="1:16" s="17" customFormat="1" ht="15" x14ac:dyDescent="0.25">
      <c r="A25" s="91" t="s">
        <v>26</v>
      </c>
      <c r="B25" s="92">
        <v>324600</v>
      </c>
      <c r="C25" s="93">
        <v>324600</v>
      </c>
      <c r="D25" s="94">
        <v>82.8</v>
      </c>
      <c r="E25" s="94">
        <v>26876.880000000001</v>
      </c>
      <c r="F25" s="112">
        <f t="shared" si="0"/>
        <v>731.46309601567611</v>
      </c>
      <c r="G25" s="74"/>
      <c r="H25" s="16"/>
      <c r="I25" s="16"/>
      <c r="J25" s="16"/>
      <c r="K25" s="47"/>
      <c r="L25" s="46"/>
      <c r="M25" s="47"/>
      <c r="N25" s="50"/>
      <c r="O25" s="50"/>
      <c r="P25" s="50"/>
    </row>
    <row r="26" spans="1:16" x14ac:dyDescent="0.2">
      <c r="A26" s="87" t="s">
        <v>27</v>
      </c>
      <c r="B26" s="40">
        <v>12800</v>
      </c>
      <c r="C26" s="88">
        <v>12800</v>
      </c>
      <c r="D26" s="89">
        <v>68.157836135779021</v>
      </c>
      <c r="E26" s="89">
        <v>872.42030253797157</v>
      </c>
      <c r="F26" s="111">
        <f t="shared" si="0"/>
        <v>23.743204401751893</v>
      </c>
      <c r="G26" s="74"/>
      <c r="H26" s="16"/>
      <c r="I26" s="16"/>
      <c r="J26" s="16"/>
      <c r="K26" s="46"/>
      <c r="L26" s="46"/>
      <c r="M26" s="46"/>
      <c r="N26" s="50"/>
      <c r="O26" s="50"/>
      <c r="P26" s="50"/>
    </row>
    <row r="27" spans="1:16" x14ac:dyDescent="0.2">
      <c r="A27" s="87" t="s">
        <v>28</v>
      </c>
      <c r="B27" s="40">
        <v>0</v>
      </c>
      <c r="C27" s="88">
        <v>0</v>
      </c>
      <c r="D27" s="89">
        <v>0</v>
      </c>
      <c r="E27" s="113">
        <v>0</v>
      </c>
      <c r="F27" s="97"/>
      <c r="G27" s="74"/>
      <c r="H27" s="16"/>
      <c r="I27" s="16"/>
      <c r="J27" s="16"/>
      <c r="K27" s="46"/>
      <c r="L27" s="46"/>
      <c r="M27" s="46"/>
      <c r="N27" s="50"/>
      <c r="O27" s="50"/>
      <c r="P27" s="50"/>
    </row>
    <row r="28" spans="1:16" x14ac:dyDescent="0.2">
      <c r="A28" s="87" t="s">
        <v>29</v>
      </c>
      <c r="B28" s="40">
        <v>7000</v>
      </c>
      <c r="C28" s="88">
        <v>7000</v>
      </c>
      <c r="D28" s="89">
        <v>48.879532669511413</v>
      </c>
      <c r="E28" s="89">
        <v>342.15672868657992</v>
      </c>
      <c r="F28" s="97">
        <f t="shared" si="0"/>
        <v>9.3119074865714104</v>
      </c>
      <c r="G28" s="74"/>
      <c r="H28" s="16"/>
      <c r="I28" s="16"/>
      <c r="J28" s="16"/>
      <c r="K28" s="46"/>
      <c r="L28" s="46"/>
      <c r="M28" s="46"/>
      <c r="N28" s="50"/>
      <c r="O28" s="50"/>
      <c r="P28" s="50"/>
    </row>
    <row r="29" spans="1:16" x14ac:dyDescent="0.2">
      <c r="A29" s="87" t="s">
        <v>30</v>
      </c>
      <c r="B29" s="40">
        <v>8100</v>
      </c>
      <c r="C29" s="88">
        <v>8100</v>
      </c>
      <c r="D29" s="89">
        <v>57.121062299198023</v>
      </c>
      <c r="E29" s="89">
        <v>462.680604623504</v>
      </c>
      <c r="F29" s="111">
        <f t="shared" si="0"/>
        <v>12.592004262559982</v>
      </c>
      <c r="G29" s="74"/>
      <c r="H29" s="16"/>
      <c r="I29" s="16"/>
      <c r="J29" s="16"/>
      <c r="K29" s="46"/>
      <c r="L29" s="46"/>
      <c r="M29" s="46"/>
      <c r="N29" s="50"/>
      <c r="O29" s="50"/>
      <c r="P29" s="50"/>
    </row>
    <row r="30" spans="1:16" x14ac:dyDescent="0.2">
      <c r="A30" s="87" t="s">
        <v>31</v>
      </c>
      <c r="B30" s="40">
        <v>0</v>
      </c>
      <c r="C30" s="88">
        <v>0</v>
      </c>
      <c r="D30" s="89">
        <v>0</v>
      </c>
      <c r="E30" s="113">
        <v>0</v>
      </c>
      <c r="F30" s="97"/>
      <c r="G30" s="74"/>
      <c r="H30" s="16"/>
      <c r="I30" s="16"/>
      <c r="J30" s="16"/>
      <c r="K30" s="46"/>
      <c r="L30" s="46"/>
      <c r="M30" s="46"/>
      <c r="N30" s="50"/>
      <c r="O30" s="50"/>
      <c r="P30" s="50"/>
    </row>
    <row r="31" spans="1:16" x14ac:dyDescent="0.2">
      <c r="A31" s="87" t="s">
        <v>32</v>
      </c>
      <c r="B31" s="40">
        <v>9000</v>
      </c>
      <c r="C31" s="88">
        <v>9000</v>
      </c>
      <c r="D31" s="89">
        <v>70.933299966483602</v>
      </c>
      <c r="E31" s="89">
        <v>638.39969969835238</v>
      </c>
      <c r="F31" s="97">
        <f t="shared" si="0"/>
        <v>17.374257013345101</v>
      </c>
      <c r="G31" s="74"/>
      <c r="H31" s="16"/>
      <c r="I31" s="16"/>
      <c r="J31" s="16"/>
      <c r="K31" s="46"/>
      <c r="L31" s="46"/>
      <c r="M31" s="46"/>
      <c r="N31" s="50"/>
      <c r="O31" s="50"/>
      <c r="P31" s="50"/>
    </row>
    <row r="32" spans="1:16" x14ac:dyDescent="0.2">
      <c r="A32" s="87" t="s">
        <v>33</v>
      </c>
      <c r="B32" s="40">
        <v>0</v>
      </c>
      <c r="C32" s="88">
        <v>0</v>
      </c>
      <c r="D32" s="89">
        <v>0</v>
      </c>
      <c r="E32" s="113">
        <v>0</v>
      </c>
      <c r="F32" s="97"/>
      <c r="G32" s="74"/>
      <c r="H32" s="16"/>
      <c r="I32" s="16"/>
      <c r="J32" s="16"/>
      <c r="K32" s="46"/>
      <c r="L32" s="46"/>
      <c r="M32" s="46"/>
      <c r="N32" s="50"/>
      <c r="O32" s="50"/>
      <c r="P32" s="50"/>
    </row>
    <row r="33" spans="1:16" x14ac:dyDescent="0.2">
      <c r="A33" s="87" t="s">
        <v>34</v>
      </c>
      <c r="B33" s="40">
        <v>6300.0000000000009</v>
      </c>
      <c r="C33" s="88">
        <v>6300.0000000000009</v>
      </c>
      <c r="D33" s="89">
        <v>54.281338384322794</v>
      </c>
      <c r="E33" s="89">
        <v>341.97243182123367</v>
      </c>
      <c r="F33" s="97">
        <f t="shared" si="0"/>
        <v>9.30689178699199</v>
      </c>
      <c r="G33" s="74"/>
      <c r="H33" s="16"/>
      <c r="I33" s="16"/>
      <c r="J33" s="16"/>
      <c r="K33" s="46"/>
      <c r="L33" s="46"/>
      <c r="M33" s="46"/>
      <c r="N33" s="50"/>
      <c r="O33" s="50"/>
      <c r="P33" s="50"/>
    </row>
    <row r="34" spans="1:16" x14ac:dyDescent="0.2">
      <c r="A34" s="87" t="s">
        <v>35</v>
      </c>
      <c r="B34" s="40">
        <v>12000</v>
      </c>
      <c r="C34" s="88">
        <v>12000</v>
      </c>
      <c r="D34" s="89">
        <v>57.787643741967187</v>
      </c>
      <c r="E34" s="89">
        <v>693.45172490360619</v>
      </c>
      <c r="F34" s="97">
        <f t="shared" si="0"/>
        <v>18.8725159183433</v>
      </c>
      <c r="G34" s="74"/>
      <c r="H34" s="16"/>
      <c r="I34" s="16"/>
      <c r="J34" s="16"/>
      <c r="K34" s="46"/>
      <c r="L34" s="46"/>
      <c r="M34" s="46"/>
      <c r="N34" s="50"/>
      <c r="O34" s="50"/>
      <c r="P34" s="50"/>
    </row>
    <row r="35" spans="1:16" x14ac:dyDescent="0.2">
      <c r="A35" s="87" t="s">
        <v>36</v>
      </c>
      <c r="B35" s="40">
        <v>4300</v>
      </c>
      <c r="C35" s="88">
        <v>4300</v>
      </c>
      <c r="D35" s="89">
        <v>65.351796459916557</v>
      </c>
      <c r="E35" s="89">
        <v>281.01272477764121</v>
      </c>
      <c r="F35" s="97">
        <f t="shared" si="0"/>
        <v>7.6478533849782604</v>
      </c>
      <c r="G35" s="74"/>
      <c r="H35" s="16"/>
      <c r="I35" s="16"/>
      <c r="J35" s="16"/>
      <c r="K35" s="46"/>
      <c r="L35" s="46"/>
      <c r="M35" s="46"/>
      <c r="N35" s="50"/>
      <c r="O35" s="50"/>
      <c r="P35" s="50"/>
    </row>
    <row r="36" spans="1:16" s="17" customFormat="1" ht="15" x14ac:dyDescent="0.25">
      <c r="A36" s="91" t="s">
        <v>37</v>
      </c>
      <c r="B36" s="92">
        <v>62000</v>
      </c>
      <c r="C36" s="93">
        <v>62000</v>
      </c>
      <c r="D36" s="94">
        <v>59.052</v>
      </c>
      <c r="E36" s="94">
        <v>3661.2240000000002</v>
      </c>
      <c r="F36" s="98">
        <f t="shared" si="0"/>
        <v>99.641410842586552</v>
      </c>
      <c r="G36" s="74"/>
      <c r="H36" s="16"/>
      <c r="I36" s="16"/>
      <c r="J36" s="16"/>
      <c r="K36" s="47"/>
      <c r="L36" s="46"/>
      <c r="M36" s="47"/>
      <c r="N36" s="50"/>
      <c r="O36" s="50"/>
      <c r="P36" s="50"/>
    </row>
    <row r="37" spans="1:16" x14ac:dyDescent="0.2">
      <c r="A37" s="87" t="s">
        <v>38</v>
      </c>
      <c r="B37" s="40">
        <v>2800</v>
      </c>
      <c r="C37" s="88">
        <v>2800</v>
      </c>
      <c r="D37" s="89">
        <v>59.809474505440697</v>
      </c>
      <c r="E37" s="89">
        <v>167.46652861523395</v>
      </c>
      <c r="F37" s="97">
        <f t="shared" si="0"/>
        <v>4.5576564504472552</v>
      </c>
      <c r="G37" s="74"/>
      <c r="H37" s="16"/>
      <c r="I37" s="16"/>
      <c r="J37" s="16"/>
      <c r="K37" s="46"/>
      <c r="L37" s="46"/>
      <c r="M37" s="46"/>
      <c r="N37" s="50"/>
      <c r="O37" s="50"/>
      <c r="P37" s="50"/>
    </row>
    <row r="38" spans="1:16" x14ac:dyDescent="0.2">
      <c r="A38" s="87" t="s">
        <v>39</v>
      </c>
      <c r="B38" s="40">
        <v>800</v>
      </c>
      <c r="C38" s="88">
        <v>800</v>
      </c>
      <c r="D38" s="89">
        <v>47.460693965894869</v>
      </c>
      <c r="E38" s="89">
        <v>37.968555172715895</v>
      </c>
      <c r="F38" s="97">
        <f t="shared" si="0"/>
        <v>1.0333266702785733</v>
      </c>
      <c r="G38" s="74"/>
      <c r="H38" s="16"/>
      <c r="I38" s="16"/>
      <c r="J38" s="16"/>
      <c r="K38" s="46"/>
      <c r="L38" s="46"/>
      <c r="M38" s="46"/>
      <c r="N38" s="50"/>
      <c r="O38" s="50"/>
      <c r="P38" s="50"/>
    </row>
    <row r="39" spans="1:16" x14ac:dyDescent="0.2">
      <c r="A39" s="87" t="s">
        <v>40</v>
      </c>
      <c r="B39" s="40">
        <v>899.99999999999989</v>
      </c>
      <c r="C39" s="88">
        <v>899.99999999999977</v>
      </c>
      <c r="D39" s="89">
        <v>51.797596410966875</v>
      </c>
      <c r="E39" s="89">
        <v>46.617836769870173</v>
      </c>
      <c r="F39" s="97">
        <f t="shared" si="0"/>
        <v>1.2687197030772419</v>
      </c>
      <c r="G39" s="74"/>
      <c r="H39" s="16"/>
      <c r="I39" s="16"/>
      <c r="J39" s="16"/>
      <c r="K39" s="46"/>
      <c r="L39" s="46"/>
      <c r="M39" s="46"/>
      <c r="N39" s="50"/>
      <c r="O39" s="50"/>
      <c r="P39" s="50"/>
    </row>
    <row r="40" spans="1:16" x14ac:dyDescent="0.2">
      <c r="A40" s="87" t="s">
        <v>41</v>
      </c>
      <c r="B40" s="40">
        <v>15900</v>
      </c>
      <c r="C40" s="88">
        <v>15900</v>
      </c>
      <c r="D40" s="89">
        <v>66.848838339018542</v>
      </c>
      <c r="E40" s="89">
        <v>1062.8965295903947</v>
      </c>
      <c r="F40" s="97">
        <f t="shared" si="0"/>
        <v>28.927077334813703</v>
      </c>
      <c r="G40" s="74"/>
      <c r="H40" s="16"/>
      <c r="I40" s="16"/>
      <c r="J40" s="16"/>
      <c r="K40" s="46"/>
      <c r="L40" s="46"/>
      <c r="M40" s="46"/>
      <c r="N40" s="50"/>
      <c r="O40" s="50"/>
      <c r="P40" s="50"/>
    </row>
    <row r="41" spans="1:16" x14ac:dyDescent="0.2">
      <c r="A41" s="87" t="s">
        <v>42</v>
      </c>
      <c r="B41" s="40">
        <v>1500.0000000000002</v>
      </c>
      <c r="C41" s="88">
        <v>1500.0000000000002</v>
      </c>
      <c r="D41" s="89">
        <v>74.05506987560149</v>
      </c>
      <c r="E41" s="89">
        <v>111.08260481340226</v>
      </c>
      <c r="F41" s="97">
        <f t="shared" si="0"/>
        <v>3.0231494887165864</v>
      </c>
      <c r="G41" s="74"/>
      <c r="H41" s="16"/>
      <c r="I41" s="16"/>
      <c r="J41" s="16"/>
      <c r="K41" s="46"/>
      <c r="L41" s="46"/>
      <c r="M41" s="46"/>
      <c r="N41" s="50"/>
      <c r="O41" s="50"/>
      <c r="P41" s="50"/>
    </row>
    <row r="42" spans="1:16" x14ac:dyDescent="0.2">
      <c r="A42" s="87" t="s">
        <v>43</v>
      </c>
      <c r="B42" s="40">
        <v>800</v>
      </c>
      <c r="C42" s="88">
        <v>800</v>
      </c>
      <c r="D42" s="89">
        <v>33.59049237156821</v>
      </c>
      <c r="E42" s="89">
        <v>26.872393897254565</v>
      </c>
      <c r="F42" s="97">
        <f t="shared" si="0"/>
        <v>0.73134100525948631</v>
      </c>
      <c r="G42" s="74"/>
      <c r="H42" s="16"/>
      <c r="I42" s="16"/>
      <c r="J42" s="16"/>
      <c r="K42" s="46"/>
      <c r="L42" s="46"/>
      <c r="M42" s="46"/>
      <c r="N42" s="50"/>
      <c r="O42" s="50"/>
      <c r="P42" s="50"/>
    </row>
    <row r="43" spans="1:16" x14ac:dyDescent="0.2">
      <c r="A43" s="87" t="s">
        <v>44</v>
      </c>
      <c r="B43" s="40">
        <v>6500</v>
      </c>
      <c r="C43" s="88">
        <v>6500</v>
      </c>
      <c r="D43" s="89">
        <v>84.186384948879081</v>
      </c>
      <c r="E43" s="89">
        <v>547.21150216771412</v>
      </c>
      <c r="F43" s="97">
        <f t="shared" si="0"/>
        <v>14.892540337680005</v>
      </c>
      <c r="G43" s="74"/>
      <c r="H43" s="16"/>
      <c r="I43" s="16"/>
      <c r="J43" s="16"/>
      <c r="K43" s="46"/>
      <c r="L43" s="46"/>
      <c r="M43" s="46"/>
      <c r="N43" s="50"/>
      <c r="O43" s="50"/>
      <c r="P43" s="50"/>
    </row>
    <row r="44" spans="1:16" x14ac:dyDescent="0.2">
      <c r="A44" s="87" t="s">
        <v>45</v>
      </c>
      <c r="B44" s="40">
        <v>2300</v>
      </c>
      <c r="C44" s="88">
        <v>2300</v>
      </c>
      <c r="D44" s="89">
        <v>84.272847379745457</v>
      </c>
      <c r="E44" s="89">
        <v>193.82754897341457</v>
      </c>
      <c r="F44" s="97">
        <f t="shared" si="0"/>
        <v>5.2750802572777751</v>
      </c>
      <c r="G44" s="74"/>
      <c r="H44" s="16"/>
      <c r="I44" s="16"/>
      <c r="J44" s="16"/>
      <c r="K44" s="46"/>
      <c r="L44" s="46"/>
      <c r="M44" s="46"/>
      <c r="N44" s="50"/>
      <c r="O44" s="50"/>
      <c r="P44" s="50"/>
    </row>
    <row r="45" spans="1:16" s="17" customFormat="1" ht="15" x14ac:dyDescent="0.25">
      <c r="A45" s="91" t="s">
        <v>46</v>
      </c>
      <c r="B45" s="92">
        <v>31500</v>
      </c>
      <c r="C45" s="93">
        <v>31500</v>
      </c>
      <c r="D45" s="94">
        <v>69.649000000000001</v>
      </c>
      <c r="E45" s="94">
        <v>2193.9434999999999</v>
      </c>
      <c r="F45" s="98">
        <f t="shared" si="0"/>
        <v>59.708891247550618</v>
      </c>
      <c r="G45" s="74"/>
      <c r="H45" s="16"/>
      <c r="I45" s="16"/>
      <c r="J45" s="16"/>
      <c r="K45" s="47"/>
      <c r="L45" s="46"/>
      <c r="M45" s="47"/>
      <c r="N45" s="50"/>
      <c r="O45" s="50"/>
      <c r="P45" s="50"/>
    </row>
    <row r="46" spans="1:16" x14ac:dyDescent="0.2">
      <c r="A46" s="87" t="s">
        <v>47</v>
      </c>
      <c r="B46" s="40">
        <v>500</v>
      </c>
      <c r="C46" s="40">
        <v>500</v>
      </c>
      <c r="D46" s="113">
        <v>76.5</v>
      </c>
      <c r="E46" s="113">
        <v>38.25</v>
      </c>
      <c r="F46" s="97"/>
      <c r="G46" s="74"/>
      <c r="H46" s="16"/>
      <c r="I46" s="16"/>
      <c r="J46" s="16"/>
      <c r="K46" s="46"/>
      <c r="L46" s="46"/>
      <c r="M46" s="46"/>
      <c r="N46" s="50"/>
      <c r="O46" s="50"/>
      <c r="P46" s="50"/>
    </row>
    <row r="47" spans="1:16" x14ac:dyDescent="0.2">
      <c r="A47" s="87" t="s">
        <v>48</v>
      </c>
      <c r="B47" s="40">
        <v>500</v>
      </c>
      <c r="C47" s="40">
        <v>500</v>
      </c>
      <c r="D47" s="113">
        <v>70</v>
      </c>
      <c r="E47" s="113">
        <v>35</v>
      </c>
      <c r="F47" s="97"/>
      <c r="G47" s="74"/>
      <c r="H47" s="16"/>
      <c r="I47" s="16"/>
      <c r="J47" s="16"/>
      <c r="K47" s="46"/>
      <c r="L47" s="46"/>
      <c r="M47" s="46"/>
      <c r="N47" s="50"/>
      <c r="O47" s="50"/>
      <c r="P47" s="50"/>
    </row>
    <row r="48" spans="1:16" x14ac:dyDescent="0.2">
      <c r="A48" s="99" t="s">
        <v>49</v>
      </c>
      <c r="B48" s="40">
        <v>0</v>
      </c>
      <c r="C48" s="88">
        <v>0</v>
      </c>
      <c r="D48" s="89">
        <v>0</v>
      </c>
      <c r="E48" s="113">
        <v>0</v>
      </c>
      <c r="F48" s="97">
        <f t="shared" si="0"/>
        <v>0</v>
      </c>
      <c r="G48" s="74"/>
      <c r="H48" s="16"/>
      <c r="I48" s="16"/>
      <c r="J48" s="16"/>
      <c r="K48" s="46"/>
      <c r="L48" s="46"/>
      <c r="M48" s="46"/>
      <c r="N48" s="50"/>
      <c r="O48" s="50"/>
      <c r="P48" s="50"/>
    </row>
    <row r="49" spans="1:16" x14ac:dyDescent="0.2">
      <c r="A49" s="87" t="s">
        <v>50</v>
      </c>
      <c r="B49" s="40">
        <v>0</v>
      </c>
      <c r="C49" s="40">
        <v>0</v>
      </c>
      <c r="D49" s="113">
        <v>0</v>
      </c>
      <c r="E49" s="113">
        <v>0</v>
      </c>
      <c r="F49" s="97"/>
      <c r="G49" s="74"/>
      <c r="H49" s="16"/>
      <c r="I49" s="16"/>
      <c r="J49" s="16"/>
      <c r="K49" s="46"/>
      <c r="L49" s="46"/>
      <c r="M49" s="46"/>
      <c r="N49" s="50"/>
      <c r="O49" s="50"/>
      <c r="P49" s="50"/>
    </row>
    <row r="50" spans="1:16" x14ac:dyDescent="0.2">
      <c r="A50" s="87" t="s">
        <v>51</v>
      </c>
      <c r="B50" s="40">
        <v>150</v>
      </c>
      <c r="C50" s="88">
        <v>150</v>
      </c>
      <c r="D50" s="89">
        <v>76.5</v>
      </c>
      <c r="E50" s="113">
        <v>11.475</v>
      </c>
      <c r="F50" s="97"/>
      <c r="G50" s="74"/>
      <c r="H50" s="16"/>
      <c r="I50" s="16"/>
      <c r="J50" s="16"/>
      <c r="K50" s="46"/>
      <c r="L50" s="46"/>
      <c r="M50" s="46"/>
      <c r="N50" s="50"/>
      <c r="O50" s="50"/>
      <c r="P50" s="50"/>
    </row>
    <row r="51" spans="1:16" x14ac:dyDescent="0.2">
      <c r="A51" s="87" t="s">
        <v>52</v>
      </c>
      <c r="B51" s="40">
        <v>0</v>
      </c>
      <c r="C51" s="88">
        <v>0</v>
      </c>
      <c r="D51" s="89">
        <v>0</v>
      </c>
      <c r="E51" s="89">
        <v>0</v>
      </c>
      <c r="F51" s="97">
        <f t="shared" si="0"/>
        <v>0</v>
      </c>
      <c r="G51" s="74"/>
      <c r="H51" s="16"/>
      <c r="I51" s="16"/>
      <c r="J51" s="16"/>
      <c r="K51" s="46"/>
      <c r="L51" s="46"/>
      <c r="M51" s="46"/>
      <c r="N51" s="50"/>
      <c r="O51" s="50"/>
      <c r="P51" s="50"/>
    </row>
    <row r="52" spans="1:16" x14ac:dyDescent="0.2">
      <c r="A52" s="87" t="s">
        <v>53</v>
      </c>
      <c r="B52" s="40">
        <v>0</v>
      </c>
      <c r="C52" s="88">
        <v>0</v>
      </c>
      <c r="D52" s="89">
        <v>0</v>
      </c>
      <c r="E52" s="113">
        <v>0</v>
      </c>
      <c r="F52" s="97"/>
      <c r="G52" s="74"/>
      <c r="H52" s="16"/>
      <c r="I52" s="16"/>
      <c r="J52" s="16"/>
      <c r="K52" s="46"/>
      <c r="L52" s="46"/>
      <c r="M52" s="46"/>
      <c r="N52" s="50"/>
      <c r="O52" s="50"/>
      <c r="P52" s="50"/>
    </row>
    <row r="53" spans="1:16" x14ac:dyDescent="0.2">
      <c r="A53" s="87" t="s">
        <v>54</v>
      </c>
      <c r="B53" s="40">
        <v>0</v>
      </c>
      <c r="C53" s="40">
        <v>0</v>
      </c>
      <c r="D53" s="113">
        <v>0</v>
      </c>
      <c r="E53" s="113">
        <v>0</v>
      </c>
      <c r="F53" s="97"/>
      <c r="G53" s="74"/>
      <c r="H53" s="16"/>
      <c r="I53" s="16"/>
      <c r="J53" s="16"/>
      <c r="K53" s="46"/>
      <c r="L53" s="46"/>
      <c r="M53" s="46"/>
      <c r="N53" s="50"/>
      <c r="O53" s="50"/>
      <c r="P53" s="50"/>
    </row>
    <row r="54" spans="1:16" x14ac:dyDescent="0.2">
      <c r="A54" s="87" t="s">
        <v>55</v>
      </c>
      <c r="B54" s="40">
        <v>0</v>
      </c>
      <c r="C54" s="88">
        <v>0</v>
      </c>
      <c r="D54" s="89">
        <v>0</v>
      </c>
      <c r="E54" s="113">
        <v>0</v>
      </c>
      <c r="F54" s="97"/>
      <c r="G54" s="74"/>
      <c r="H54" s="16"/>
      <c r="I54" s="16"/>
      <c r="J54" s="16"/>
      <c r="K54" s="46"/>
      <c r="L54" s="46"/>
      <c r="M54" s="46"/>
      <c r="N54" s="50"/>
      <c r="O54" s="50"/>
      <c r="P54" s="50"/>
    </row>
    <row r="55" spans="1:16" x14ac:dyDescent="0.2">
      <c r="A55" s="87" t="s">
        <v>56</v>
      </c>
      <c r="B55" s="40">
        <v>500</v>
      </c>
      <c r="C55" s="88">
        <v>500</v>
      </c>
      <c r="D55" s="89">
        <v>77</v>
      </c>
      <c r="E55" s="89">
        <v>38.5</v>
      </c>
      <c r="F55" s="97">
        <f t="shared" si="0"/>
        <v>1.0477901153929894</v>
      </c>
      <c r="G55" s="74"/>
      <c r="H55" s="16"/>
      <c r="I55" s="16"/>
      <c r="J55" s="16"/>
      <c r="K55" s="46"/>
      <c r="L55" s="46"/>
      <c r="M55" s="46"/>
      <c r="N55" s="50"/>
      <c r="O55" s="50"/>
      <c r="P55" s="50"/>
    </row>
    <row r="56" spans="1:16" s="17" customFormat="1" ht="15" x14ac:dyDescent="0.25">
      <c r="A56" s="91" t="s">
        <v>57</v>
      </c>
      <c r="B56" s="92">
        <v>3000.0000000000005</v>
      </c>
      <c r="C56" s="93">
        <v>3000</v>
      </c>
      <c r="D56" s="94">
        <v>78</v>
      </c>
      <c r="E56" s="94">
        <v>234</v>
      </c>
      <c r="F56" s="112">
        <f t="shared" si="0"/>
        <v>6.3683866753755716</v>
      </c>
      <c r="G56" s="74"/>
      <c r="H56" s="16"/>
      <c r="I56" s="16"/>
      <c r="J56" s="16"/>
      <c r="K56" s="47"/>
      <c r="L56" s="46"/>
      <c r="M56" s="47"/>
      <c r="N56" s="50"/>
      <c r="O56" s="50"/>
      <c r="P56" s="50"/>
    </row>
    <row r="57" spans="1:16" s="17" customFormat="1" ht="15" x14ac:dyDescent="0.25">
      <c r="A57" s="100" t="s">
        <v>0</v>
      </c>
      <c r="B57" s="101">
        <v>656100</v>
      </c>
      <c r="C57" s="102">
        <v>656100</v>
      </c>
      <c r="D57" s="103">
        <v>76.750567748818781</v>
      </c>
      <c r="E57" s="103">
        <v>50356</v>
      </c>
      <c r="F57" s="114">
        <f t="shared" si="0"/>
        <v>1370.4550402786849</v>
      </c>
      <c r="G57" s="74"/>
      <c r="H57" s="16"/>
      <c r="I57" s="16"/>
      <c r="J57" s="16"/>
      <c r="K57" s="47"/>
      <c r="L57" s="46"/>
      <c r="M57" s="47"/>
      <c r="N57" s="50"/>
      <c r="O57" s="50"/>
      <c r="P57" s="50"/>
    </row>
    <row r="58" spans="1:16" s="22" customFormat="1" x14ac:dyDescent="0.2">
      <c r="A58" s="20"/>
      <c r="B58" s="20"/>
      <c r="C58" s="16"/>
      <c r="D58" s="20"/>
      <c r="E58" s="15"/>
      <c r="F58" s="21"/>
      <c r="G58" s="20"/>
      <c r="H58" s="20"/>
      <c r="I58" s="20"/>
      <c r="J58" s="20"/>
      <c r="K58" s="40"/>
      <c r="L58" s="40"/>
      <c r="M58" s="40"/>
      <c r="N58" s="40"/>
    </row>
    <row r="59" spans="1:16" ht="171" x14ac:dyDescent="0.2">
      <c r="A59" s="105" t="s">
        <v>58</v>
      </c>
      <c r="B59" s="105"/>
      <c r="C59" s="105"/>
      <c r="D59" s="105"/>
      <c r="E59" s="105"/>
      <c r="F59" s="105"/>
      <c r="G59" s="3"/>
      <c r="H59" s="3"/>
      <c r="I59" s="3"/>
      <c r="J59" s="3"/>
    </row>
    <row r="60" spans="1:16" ht="15" x14ac:dyDescent="0.2">
      <c r="A60"/>
      <c r="B60" s="6"/>
      <c r="C60" s="6"/>
      <c r="D60" s="8"/>
      <c r="E60" s="12"/>
      <c r="F60" s="14"/>
      <c r="G60" s="3"/>
      <c r="H60" s="3"/>
      <c r="I60" s="3"/>
      <c r="J60" s="3"/>
    </row>
    <row r="61" spans="1:16" ht="15" x14ac:dyDescent="0.25">
      <c r="A61" s="17" t="s">
        <v>60</v>
      </c>
      <c r="B61" s="6"/>
      <c r="C61" s="6"/>
      <c r="D61" s="8"/>
      <c r="E61" s="6"/>
      <c r="F61" s="7"/>
      <c r="G61" s="3"/>
      <c r="H61" s="3"/>
      <c r="I61" s="3"/>
      <c r="J61" s="3"/>
    </row>
    <row r="62" spans="1:16" x14ac:dyDescent="0.2">
      <c r="A62" s="41" t="s">
        <v>150</v>
      </c>
      <c r="B62" s="6"/>
      <c r="C62" s="6"/>
      <c r="D62" s="8"/>
      <c r="E62" s="6"/>
      <c r="F62" s="7"/>
      <c r="G62" s="3"/>
      <c r="H62" s="3"/>
      <c r="I62" s="3"/>
      <c r="J62" s="3"/>
    </row>
    <row r="63" spans="1:16" x14ac:dyDescent="0.2">
      <c r="A63" s="3"/>
      <c r="B63" s="6"/>
      <c r="C63" s="6"/>
      <c r="D63" s="8"/>
      <c r="E63" s="6"/>
      <c r="F63" s="7"/>
      <c r="G63" s="3"/>
      <c r="H63" s="3"/>
      <c r="I63" s="3"/>
      <c r="J63" s="3"/>
    </row>
    <row r="64" spans="1:16" x14ac:dyDescent="0.2">
      <c r="A64" s="3"/>
      <c r="B64" s="6"/>
      <c r="C64" s="6"/>
      <c r="D64" s="8"/>
      <c r="E64" s="6"/>
      <c r="F64" s="7"/>
      <c r="G64" s="3"/>
      <c r="H64" s="3"/>
      <c r="I64" s="3"/>
      <c r="J64" s="3"/>
    </row>
    <row r="65" spans="1:10" x14ac:dyDescent="0.2">
      <c r="A65" s="3"/>
      <c r="B65" s="6"/>
      <c r="C65" s="6"/>
      <c r="D65" s="8"/>
      <c r="E65" s="6"/>
      <c r="F65" s="7"/>
      <c r="G65" s="3"/>
      <c r="H65" s="3"/>
      <c r="I65" s="3"/>
      <c r="J65" s="3"/>
    </row>
    <row r="66" spans="1:10" x14ac:dyDescent="0.2">
      <c r="A66" s="3"/>
      <c r="B66" s="6"/>
      <c r="C66" s="6"/>
      <c r="D66" s="8"/>
      <c r="E66" s="6"/>
      <c r="F66" s="7"/>
      <c r="G66" s="3"/>
      <c r="H66" s="3"/>
      <c r="I66" s="3"/>
      <c r="J66" s="3"/>
    </row>
    <row r="67" spans="1:10" x14ac:dyDescent="0.2">
      <c r="A67" s="3"/>
      <c r="B67" s="6"/>
      <c r="C67" s="6"/>
      <c r="D67" s="8"/>
      <c r="E67" s="6"/>
      <c r="F67" s="7"/>
      <c r="G67" s="3"/>
      <c r="H67" s="3"/>
      <c r="I67" s="3"/>
      <c r="J67" s="3"/>
    </row>
    <row r="68" spans="1:10" x14ac:dyDescent="0.2">
      <c r="A68" s="3"/>
      <c r="B68" s="6"/>
      <c r="C68" s="6"/>
      <c r="D68" s="8"/>
      <c r="E68" s="6"/>
      <c r="F68" s="7"/>
      <c r="G68" s="3"/>
      <c r="H68" s="3"/>
      <c r="I68" s="3"/>
      <c r="J68" s="3"/>
    </row>
    <row r="69" spans="1:10" x14ac:dyDescent="0.2">
      <c r="A69" s="3"/>
      <c r="B69" s="6"/>
      <c r="C69" s="6"/>
      <c r="D69" s="8"/>
      <c r="E69" s="6"/>
      <c r="F69" s="7"/>
      <c r="G69" s="3"/>
      <c r="H69" s="3"/>
      <c r="I69" s="3"/>
      <c r="J69" s="3"/>
    </row>
    <row r="70" spans="1:10" x14ac:dyDescent="0.2">
      <c r="A70" s="3"/>
      <c r="B70" s="3"/>
      <c r="C70" s="3"/>
      <c r="D70" s="3"/>
      <c r="E70" s="6"/>
      <c r="F70" s="7"/>
      <c r="G70" s="3"/>
      <c r="H70" s="3"/>
      <c r="I70" s="3"/>
      <c r="J70" s="3"/>
    </row>
    <row r="71" spans="1:10" x14ac:dyDescent="0.2">
      <c r="A71" s="3"/>
      <c r="B71" s="3"/>
      <c r="C71" s="3"/>
      <c r="D71" s="3"/>
      <c r="E71" s="6"/>
      <c r="F71" s="7"/>
      <c r="G71" s="3"/>
      <c r="H71" s="3"/>
      <c r="I71" s="3"/>
      <c r="J71" s="3"/>
    </row>
    <row r="72" spans="1:10" x14ac:dyDescent="0.2">
      <c r="A72" s="3"/>
      <c r="B72" s="3"/>
      <c r="C72" s="3"/>
      <c r="D72" s="3"/>
      <c r="E72" s="6"/>
      <c r="F72" s="7"/>
      <c r="G72" s="3"/>
      <c r="H72" s="3"/>
      <c r="I72" s="3"/>
      <c r="J72" s="3"/>
    </row>
    <row r="73" spans="1:10" x14ac:dyDescent="0.2">
      <c r="A73" s="3"/>
      <c r="B73" s="3"/>
      <c r="C73" s="3"/>
      <c r="D73" s="3"/>
      <c r="E73" s="6"/>
      <c r="F73" s="7"/>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E80" s="3"/>
      <c r="F80" s="3"/>
      <c r="G80" s="3"/>
      <c r="H80" s="3"/>
      <c r="I80" s="3"/>
      <c r="J80" s="3"/>
    </row>
    <row r="81" spans="1:10" x14ac:dyDescent="0.2">
      <c r="A81" s="3"/>
      <c r="E81" s="3"/>
      <c r="F81" s="3"/>
      <c r="G81" s="3"/>
      <c r="H81" s="3"/>
      <c r="I81" s="3"/>
      <c r="J81" s="3"/>
    </row>
    <row r="82" spans="1:10" x14ac:dyDescent="0.2">
      <c r="A82" s="3"/>
      <c r="E82" s="3"/>
      <c r="F82" s="3"/>
      <c r="G82" s="3"/>
      <c r="H82" s="3"/>
      <c r="I82" s="3"/>
      <c r="J82" s="3"/>
    </row>
    <row r="83" spans="1:10" x14ac:dyDescent="0.2">
      <c r="A83" s="3"/>
      <c r="E83" s="3"/>
      <c r="F83" s="3"/>
      <c r="G83" s="3"/>
      <c r="H83" s="3"/>
      <c r="I83" s="3"/>
      <c r="J83" s="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83"/>
  <sheetViews>
    <sheetView workbookViewId="0"/>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0" width="9.77734375" style="1"/>
    <col min="11" max="12" width="10.21875" style="1" bestFit="1" customWidth="1"/>
    <col min="13" max="13" width="9.88671875" style="1" bestFit="1" customWidth="1"/>
    <col min="14" max="14" width="12.44140625" style="1" bestFit="1" customWidth="1"/>
    <col min="15" max="16384" width="9.77734375" style="1"/>
  </cols>
  <sheetData>
    <row r="2" spans="1:16" ht="15" x14ac:dyDescent="0.25">
      <c r="A2" s="80" t="s">
        <v>146</v>
      </c>
      <c r="B2" s="81"/>
      <c r="C2" s="81"/>
      <c r="D2" s="81"/>
      <c r="E2" s="81"/>
      <c r="F2" s="81"/>
      <c r="G2" s="3"/>
      <c r="H2" s="3"/>
      <c r="I2" s="3"/>
      <c r="J2" s="3"/>
    </row>
    <row r="3" spans="1:16" ht="47.25" customHeight="1" thickBot="1" x14ac:dyDescent="0.3">
      <c r="A3" s="82"/>
      <c r="B3" s="83" t="s">
        <v>59</v>
      </c>
      <c r="C3" s="84" t="s">
        <v>2</v>
      </c>
      <c r="D3" s="85" t="s">
        <v>3</v>
      </c>
      <c r="E3" s="84" t="s">
        <v>4</v>
      </c>
      <c r="F3" s="86" t="s">
        <v>1</v>
      </c>
      <c r="G3" s="3"/>
      <c r="H3" s="3"/>
      <c r="I3" s="3"/>
      <c r="J3" s="3"/>
    </row>
    <row r="4" spans="1:16" x14ac:dyDescent="0.2">
      <c r="A4" s="87" t="s">
        <v>5</v>
      </c>
      <c r="B4" s="40">
        <v>15287.918502202645</v>
      </c>
      <c r="C4" s="88">
        <v>15199.779735682821</v>
      </c>
      <c r="D4" s="89">
        <v>91.100660055326671</v>
      </c>
      <c r="E4" s="88">
        <v>1384.709966616284</v>
      </c>
      <c r="F4" s="90">
        <f>+E4/36.744</f>
        <v>37.685335472901265</v>
      </c>
      <c r="G4" s="74"/>
      <c r="H4" s="16"/>
      <c r="I4" s="16"/>
      <c r="J4" s="16"/>
      <c r="K4" s="46"/>
      <c r="L4" s="46"/>
      <c r="M4" s="46"/>
      <c r="N4" s="46"/>
      <c r="O4" s="50"/>
      <c r="P4" s="50"/>
    </row>
    <row r="5" spans="1:16" x14ac:dyDescent="0.2">
      <c r="A5" s="87" t="s">
        <v>6</v>
      </c>
      <c r="B5" s="40">
        <v>60442.962555066086</v>
      </c>
      <c r="C5" s="88">
        <v>60094.493392070493</v>
      </c>
      <c r="D5" s="89">
        <v>89.70675314748253</v>
      </c>
      <c r="E5" s="88">
        <v>5390.8818842454875</v>
      </c>
      <c r="F5" s="90">
        <f t="shared" ref="F5:F57" si="0">+E5/36.744</f>
        <v>146.7146169237287</v>
      </c>
      <c r="G5" s="74"/>
      <c r="H5" s="16"/>
      <c r="I5" s="16"/>
      <c r="J5" s="16"/>
      <c r="K5" s="46"/>
      <c r="L5" s="46"/>
      <c r="M5" s="46"/>
      <c r="N5" s="46"/>
      <c r="O5" s="50"/>
      <c r="P5" s="50"/>
    </row>
    <row r="6" spans="1:16" x14ac:dyDescent="0.2">
      <c r="A6" s="87" t="s">
        <v>7</v>
      </c>
      <c r="B6" s="40">
        <v>22780.011013215859</v>
      </c>
      <c r="C6" s="88">
        <v>22648.678414096918</v>
      </c>
      <c r="D6" s="89">
        <v>83.47829431456492</v>
      </c>
      <c r="E6" s="88">
        <v>1890.6730424879158</v>
      </c>
      <c r="F6" s="90">
        <f t="shared" si="0"/>
        <v>51.455286372956557</v>
      </c>
      <c r="G6" s="74"/>
      <c r="H6" s="16"/>
      <c r="I6" s="16"/>
      <c r="J6" s="16"/>
      <c r="K6" s="46"/>
      <c r="L6" s="46"/>
      <c r="M6" s="46"/>
      <c r="N6" s="46"/>
      <c r="O6" s="50"/>
      <c r="P6" s="50"/>
    </row>
    <row r="7" spans="1:16" x14ac:dyDescent="0.2">
      <c r="A7" s="87" t="s">
        <v>8</v>
      </c>
      <c r="B7" s="40">
        <v>51533.447136563875</v>
      </c>
      <c r="C7" s="88">
        <v>51236.3436123348</v>
      </c>
      <c r="D7" s="89">
        <v>78.396132771079536</v>
      </c>
      <c r="E7" s="88">
        <v>4016.7311965372514</v>
      </c>
      <c r="F7" s="90">
        <f t="shared" si="0"/>
        <v>109.31665568629576</v>
      </c>
      <c r="G7" s="74"/>
      <c r="H7" s="16"/>
      <c r="I7" s="16"/>
      <c r="J7" s="16"/>
      <c r="K7" s="46"/>
      <c r="L7" s="46"/>
      <c r="M7" s="46"/>
      <c r="N7" s="46"/>
      <c r="O7" s="50"/>
      <c r="P7" s="50"/>
    </row>
    <row r="8" spans="1:16" x14ac:dyDescent="0.2">
      <c r="A8" s="87" t="s">
        <v>9</v>
      </c>
      <c r="B8" s="40">
        <v>45762.511013215859</v>
      </c>
      <c r="C8" s="88">
        <v>45498.67841409691</v>
      </c>
      <c r="D8" s="89">
        <v>84.354702839860607</v>
      </c>
      <c r="E8" s="88">
        <v>3838.0274972275251</v>
      </c>
      <c r="F8" s="90">
        <f t="shared" si="0"/>
        <v>104.45317595328558</v>
      </c>
      <c r="G8" s="74"/>
      <c r="H8" s="16"/>
      <c r="I8" s="16"/>
      <c r="J8" s="16"/>
      <c r="K8" s="46"/>
      <c r="L8" s="46"/>
      <c r="M8" s="46"/>
      <c r="N8" s="46"/>
      <c r="O8" s="50"/>
      <c r="P8" s="50"/>
    </row>
    <row r="9" spans="1:16" x14ac:dyDescent="0.2">
      <c r="A9" s="87" t="s">
        <v>10</v>
      </c>
      <c r="B9" s="40">
        <v>20147.654185022027</v>
      </c>
      <c r="C9" s="88">
        <v>20031.497797356831</v>
      </c>
      <c r="D9" s="89">
        <v>84.107673720162538</v>
      </c>
      <c r="E9" s="88">
        <v>1684.8026808662428</v>
      </c>
      <c r="F9" s="90">
        <f t="shared" si="0"/>
        <v>45.85245702335736</v>
      </c>
      <c r="G9" s="74"/>
      <c r="H9" s="16"/>
      <c r="I9" s="16"/>
      <c r="J9" s="16"/>
      <c r="K9" s="46"/>
      <c r="L9" s="46"/>
      <c r="M9" s="46"/>
      <c r="N9" s="46"/>
      <c r="O9" s="50"/>
      <c r="P9" s="50"/>
    </row>
    <row r="10" spans="1:16" x14ac:dyDescent="0.2">
      <c r="A10" s="87" t="s">
        <v>11</v>
      </c>
      <c r="B10" s="40">
        <v>69352.477973568282</v>
      </c>
      <c r="C10" s="88">
        <v>68952.643171806165</v>
      </c>
      <c r="D10" s="89">
        <v>83.074237131343779</v>
      </c>
      <c r="E10" s="88">
        <v>5728.1882296875574</v>
      </c>
      <c r="F10" s="90">
        <f t="shared" si="0"/>
        <v>155.89451964096335</v>
      </c>
      <c r="G10" s="74"/>
      <c r="H10" s="16"/>
      <c r="I10" s="16"/>
      <c r="J10" s="16"/>
      <c r="K10" s="46"/>
      <c r="L10" s="46"/>
      <c r="M10" s="46"/>
      <c r="N10" s="46"/>
      <c r="O10" s="50"/>
      <c r="P10" s="50"/>
    </row>
    <row r="11" spans="1:16" x14ac:dyDescent="0.2">
      <c r="A11" s="87" t="s">
        <v>12</v>
      </c>
      <c r="B11" s="40">
        <v>59329.273127753302</v>
      </c>
      <c r="C11" s="88">
        <v>58987.224669603522</v>
      </c>
      <c r="D11" s="89">
        <v>88.072115187199174</v>
      </c>
      <c r="E11" s="88">
        <v>5195.1296456745185</v>
      </c>
      <c r="F11" s="90">
        <f t="shared" si="0"/>
        <v>141.38715560838554</v>
      </c>
      <c r="G11" s="74"/>
      <c r="H11" s="16"/>
      <c r="I11" s="16"/>
      <c r="J11" s="16"/>
      <c r="K11" s="46"/>
      <c r="L11" s="46"/>
      <c r="M11" s="46"/>
      <c r="N11" s="46"/>
      <c r="O11" s="50"/>
      <c r="P11" s="50"/>
    </row>
    <row r="12" spans="1:16" x14ac:dyDescent="0.2">
      <c r="A12" s="87" t="s">
        <v>13</v>
      </c>
      <c r="B12" s="40">
        <v>15186.674008810573</v>
      </c>
      <c r="C12" s="88">
        <v>15099.118942731278</v>
      </c>
      <c r="D12" s="89">
        <v>79.304301057641865</v>
      </c>
      <c r="E12" s="88">
        <v>1197.4250743395044</v>
      </c>
      <c r="F12" s="90">
        <f t="shared" si="0"/>
        <v>32.588315761471378</v>
      </c>
      <c r="G12" s="74"/>
      <c r="H12" s="16"/>
      <c r="I12" s="16"/>
      <c r="J12" s="16"/>
      <c r="K12" s="46"/>
      <c r="L12" s="46"/>
      <c r="M12" s="46"/>
      <c r="N12" s="46"/>
      <c r="O12" s="50"/>
      <c r="P12" s="50"/>
    </row>
    <row r="13" spans="1:16" x14ac:dyDescent="0.2">
      <c r="A13" s="87" t="s">
        <v>14</v>
      </c>
      <c r="B13" s="40">
        <v>35840.550660792949</v>
      </c>
      <c r="C13" s="88">
        <v>35633.920704845812</v>
      </c>
      <c r="D13" s="89">
        <v>92.014404295665287</v>
      </c>
      <c r="E13" s="88">
        <v>3278.8339863753608</v>
      </c>
      <c r="F13" s="90">
        <f t="shared" si="0"/>
        <v>89.234541323082979</v>
      </c>
      <c r="G13" s="74"/>
      <c r="H13" s="16"/>
      <c r="I13" s="16"/>
      <c r="J13" s="16"/>
      <c r="K13" s="46"/>
      <c r="L13" s="46"/>
      <c r="M13" s="46"/>
      <c r="N13" s="46"/>
      <c r="O13" s="50"/>
      <c r="P13" s="50"/>
    </row>
    <row r="14" spans="1:16" s="17" customFormat="1" ht="15" x14ac:dyDescent="0.25">
      <c r="A14" s="91" t="s">
        <v>15</v>
      </c>
      <c r="B14" s="92">
        <v>395663.48017621145</v>
      </c>
      <c r="C14" s="93">
        <v>393382.37885462557</v>
      </c>
      <c r="D14" s="94">
        <v>85.426813732489336</v>
      </c>
      <c r="E14" s="93">
        <v>33605.403204057649</v>
      </c>
      <c r="F14" s="95">
        <f t="shared" si="0"/>
        <v>914.58205976642853</v>
      </c>
      <c r="G14" s="74"/>
      <c r="H14" s="16"/>
      <c r="I14" s="16"/>
      <c r="J14" s="16"/>
      <c r="K14" s="47"/>
      <c r="L14" s="46"/>
      <c r="M14" s="47"/>
      <c r="N14" s="47"/>
      <c r="O14" s="50"/>
      <c r="P14" s="50"/>
    </row>
    <row r="15" spans="1:16" x14ac:dyDescent="0.2">
      <c r="A15" s="87" t="s">
        <v>16</v>
      </c>
      <c r="B15" s="40">
        <v>35739.306167400886</v>
      </c>
      <c r="C15" s="88">
        <v>35533.259911894274</v>
      </c>
      <c r="D15" s="89">
        <v>84.517431089640482</v>
      </c>
      <c r="E15" s="88">
        <v>3003.1798459938091</v>
      </c>
      <c r="F15" s="90">
        <f t="shared" si="0"/>
        <v>81.732523568305282</v>
      </c>
      <c r="G15" s="74"/>
      <c r="H15" s="16"/>
      <c r="I15" s="16"/>
      <c r="J15" s="16"/>
      <c r="K15" s="46"/>
      <c r="L15" s="46"/>
      <c r="M15" s="46"/>
      <c r="N15" s="46"/>
      <c r="O15" s="50"/>
      <c r="P15" s="50"/>
    </row>
    <row r="16" spans="1:16" x14ac:dyDescent="0.2">
      <c r="A16" s="87" t="s">
        <v>17</v>
      </c>
      <c r="B16" s="40">
        <v>4151.0242290748902</v>
      </c>
      <c r="C16" s="88">
        <v>4127.0925110132166</v>
      </c>
      <c r="D16" s="89">
        <v>56.659160801222832</v>
      </c>
      <c r="E16" s="88">
        <v>233.83759822302036</v>
      </c>
      <c r="F16" s="90">
        <f t="shared" si="0"/>
        <v>6.3639668578004676</v>
      </c>
      <c r="G16" s="74"/>
      <c r="H16" s="16"/>
      <c r="I16" s="16"/>
      <c r="J16" s="16"/>
      <c r="K16" s="46"/>
      <c r="L16" s="46"/>
      <c r="M16" s="46"/>
      <c r="N16" s="46"/>
      <c r="O16" s="50"/>
      <c r="P16" s="50"/>
    </row>
    <row r="17" spans="1:16" x14ac:dyDescent="0.2">
      <c r="A17" s="87" t="s">
        <v>18</v>
      </c>
      <c r="B17" s="40">
        <v>17819.030837004404</v>
      </c>
      <c r="C17" s="88">
        <v>17716.299559471365</v>
      </c>
      <c r="D17" s="89">
        <v>81.900187195547787</v>
      </c>
      <c r="E17" s="88">
        <v>1450.9682503331055</v>
      </c>
      <c r="F17" s="90">
        <f t="shared" si="0"/>
        <v>39.488576375275024</v>
      </c>
      <c r="G17" s="74"/>
      <c r="H17" s="16"/>
      <c r="I17" s="16"/>
      <c r="J17" s="16"/>
      <c r="K17" s="46"/>
      <c r="L17" s="46"/>
      <c r="M17" s="46"/>
      <c r="N17" s="46"/>
      <c r="O17" s="50"/>
      <c r="P17" s="50"/>
    </row>
    <row r="18" spans="1:16" x14ac:dyDescent="0.2">
      <c r="A18" s="87" t="s">
        <v>19</v>
      </c>
      <c r="B18" s="40">
        <v>15287.918502202645</v>
      </c>
      <c r="C18" s="88">
        <v>15199.779735682821</v>
      </c>
      <c r="D18" s="89">
        <v>81.775751344090281</v>
      </c>
      <c r="E18" s="88">
        <v>1242.9734081501406</v>
      </c>
      <c r="F18" s="90">
        <f t="shared" si="0"/>
        <v>33.827928591066311</v>
      </c>
      <c r="G18" s="74"/>
      <c r="H18" s="16"/>
      <c r="I18" s="16"/>
      <c r="J18" s="16"/>
      <c r="K18" s="46"/>
      <c r="L18" s="46"/>
      <c r="M18" s="46"/>
      <c r="N18" s="46"/>
      <c r="O18" s="50"/>
      <c r="P18" s="50"/>
    </row>
    <row r="19" spans="1:16" x14ac:dyDescent="0.2">
      <c r="A19" s="87" t="s">
        <v>20</v>
      </c>
      <c r="B19" s="40">
        <v>116734.90088105726</v>
      </c>
      <c r="C19" s="88">
        <v>116061.89427312773</v>
      </c>
      <c r="D19" s="89">
        <v>84.79632789928371</v>
      </c>
      <c r="E19" s="88">
        <v>9841.6224433961379</v>
      </c>
      <c r="F19" s="90">
        <f t="shared" si="0"/>
        <v>267.84297962650061</v>
      </c>
      <c r="G19" s="74"/>
      <c r="H19" s="16"/>
      <c r="I19" s="16"/>
      <c r="J19" s="16"/>
      <c r="K19" s="46"/>
      <c r="L19" s="46"/>
      <c r="M19" s="46"/>
      <c r="N19" s="46"/>
      <c r="O19" s="50"/>
      <c r="P19" s="50"/>
    </row>
    <row r="20" spans="1:16" x14ac:dyDescent="0.2">
      <c r="A20" s="87" t="s">
        <v>21</v>
      </c>
      <c r="B20" s="40">
        <v>10529.427312775329</v>
      </c>
      <c r="C20" s="88">
        <v>10468.722466960353</v>
      </c>
      <c r="D20" s="89">
        <v>92.232079542423136</v>
      </c>
      <c r="E20" s="88">
        <v>965.55204328023945</v>
      </c>
      <c r="F20" s="90">
        <f t="shared" si="0"/>
        <v>26.27781524276724</v>
      </c>
      <c r="G20" s="74"/>
      <c r="H20" s="16"/>
      <c r="I20" s="16"/>
      <c r="J20" s="16"/>
      <c r="K20" s="46"/>
      <c r="L20" s="46"/>
      <c r="M20" s="46"/>
      <c r="N20" s="46"/>
      <c r="O20" s="50"/>
      <c r="P20" s="50"/>
    </row>
    <row r="21" spans="1:16" x14ac:dyDescent="0.2">
      <c r="A21" s="87" t="s">
        <v>22</v>
      </c>
      <c r="B21" s="40">
        <v>81501.817180616737</v>
      </c>
      <c r="C21" s="88">
        <v>81031.938325991185</v>
      </c>
      <c r="D21" s="89">
        <v>90.133470943922816</v>
      </c>
      <c r="E21" s="88">
        <v>7303.6898586354719</v>
      </c>
      <c r="F21" s="90">
        <f t="shared" si="0"/>
        <v>198.77231272140952</v>
      </c>
      <c r="G21" s="74"/>
      <c r="H21" s="16"/>
      <c r="I21" s="16"/>
      <c r="J21" s="16"/>
      <c r="K21" s="46"/>
      <c r="L21" s="46"/>
      <c r="M21" s="46"/>
      <c r="N21" s="46"/>
      <c r="O21" s="50"/>
      <c r="P21" s="50"/>
    </row>
    <row r="22" spans="1:16" x14ac:dyDescent="0.2">
      <c r="A22" s="87" t="s">
        <v>23</v>
      </c>
      <c r="B22" s="40">
        <v>45256.288546255506</v>
      </c>
      <c r="C22" s="88">
        <v>44995.374449339208</v>
      </c>
      <c r="D22" s="89">
        <v>80.968716891576634</v>
      </c>
      <c r="E22" s="88">
        <v>3643.2177352190274</v>
      </c>
      <c r="F22" s="90">
        <f t="shared" si="0"/>
        <v>99.151364446413766</v>
      </c>
      <c r="G22" s="74"/>
      <c r="H22" s="16"/>
      <c r="I22" s="16"/>
      <c r="J22" s="16"/>
      <c r="K22" s="46"/>
      <c r="L22" s="46"/>
      <c r="M22" s="46"/>
      <c r="N22" s="46"/>
      <c r="O22" s="50"/>
      <c r="P22" s="50"/>
    </row>
    <row r="23" spans="1:16" x14ac:dyDescent="0.2">
      <c r="A23" s="87" t="s">
        <v>24</v>
      </c>
      <c r="B23" s="40">
        <v>13364.273127753304</v>
      </c>
      <c r="C23" s="88">
        <v>13287.224669603524</v>
      </c>
      <c r="D23" s="89">
        <v>95.556890464172895</v>
      </c>
      <c r="E23" s="88">
        <v>1269.6858723261598</v>
      </c>
      <c r="F23" s="90">
        <f t="shared" si="0"/>
        <v>34.554917056557798</v>
      </c>
      <c r="G23" s="74"/>
      <c r="H23" s="16"/>
      <c r="I23" s="16"/>
      <c r="J23" s="16"/>
      <c r="K23" s="46"/>
      <c r="L23" s="46"/>
      <c r="M23" s="46"/>
      <c r="N23" s="46"/>
      <c r="O23" s="50"/>
      <c r="P23" s="50"/>
    </row>
    <row r="24" spans="1:16" x14ac:dyDescent="0.2">
      <c r="A24" s="87" t="s">
        <v>25</v>
      </c>
      <c r="B24" s="40">
        <v>48496.112334801765</v>
      </c>
      <c r="C24" s="88">
        <v>48216.519823788549</v>
      </c>
      <c r="D24" s="89">
        <v>89.396485435666108</v>
      </c>
      <c r="E24" s="88">
        <v>4310.3874121858189</v>
      </c>
      <c r="F24" s="90">
        <f t="shared" si="0"/>
        <v>117.30860581825111</v>
      </c>
      <c r="G24" s="74"/>
      <c r="H24" s="16"/>
      <c r="I24" s="16"/>
      <c r="J24" s="16"/>
      <c r="K24" s="46"/>
      <c r="L24" s="46"/>
      <c r="M24" s="46"/>
      <c r="N24" s="46"/>
      <c r="O24" s="50"/>
      <c r="P24" s="50"/>
    </row>
    <row r="25" spans="1:16" s="17" customFormat="1" ht="15" x14ac:dyDescent="0.25">
      <c r="A25" s="91" t="s">
        <v>26</v>
      </c>
      <c r="B25" s="92">
        <v>388880.09911894269</v>
      </c>
      <c r="C25" s="93">
        <v>386638.10572687222</v>
      </c>
      <c r="D25" s="94">
        <v>86.036823517964322</v>
      </c>
      <c r="E25" s="93">
        <v>33265.114467742933</v>
      </c>
      <c r="F25" s="95">
        <f t="shared" si="0"/>
        <v>905.32099030434722</v>
      </c>
      <c r="G25" s="74"/>
      <c r="H25" s="16"/>
      <c r="I25" s="16"/>
      <c r="J25" s="16"/>
      <c r="K25" s="47"/>
      <c r="L25" s="46"/>
      <c r="M25" s="47"/>
      <c r="N25" s="47"/>
      <c r="O25" s="50"/>
      <c r="P25" s="50"/>
    </row>
    <row r="26" spans="1:16" x14ac:dyDescent="0.2">
      <c r="A26" s="87" t="s">
        <v>27</v>
      </c>
      <c r="B26" s="40">
        <v>20200</v>
      </c>
      <c r="C26" s="88">
        <v>20200</v>
      </c>
      <c r="D26" s="89">
        <v>61.474965877331712</v>
      </c>
      <c r="E26" s="88">
        <v>1250</v>
      </c>
      <c r="F26" s="90">
        <f t="shared" si="0"/>
        <v>34.019159590681475</v>
      </c>
      <c r="G26" s="74"/>
      <c r="H26" s="16"/>
      <c r="I26" s="16"/>
      <c r="J26" s="16"/>
      <c r="K26" s="46"/>
      <c r="L26" s="46"/>
      <c r="M26" s="46"/>
      <c r="N26" s="46"/>
      <c r="O26" s="50"/>
      <c r="P26" s="50"/>
    </row>
    <row r="27" spans="1:16" x14ac:dyDescent="0.2">
      <c r="A27" s="87" t="s">
        <v>28</v>
      </c>
      <c r="B27" s="40" t="s">
        <v>63</v>
      </c>
      <c r="C27" s="88" t="s">
        <v>63</v>
      </c>
      <c r="D27" s="89" t="s">
        <v>63</v>
      </c>
      <c r="E27" s="40">
        <v>0</v>
      </c>
      <c r="F27" s="96"/>
      <c r="G27" s="74"/>
      <c r="H27" s="16"/>
      <c r="I27" s="16"/>
      <c r="J27" s="16"/>
      <c r="K27" s="46"/>
      <c r="L27" s="46"/>
      <c r="M27" s="46"/>
      <c r="N27" s="46"/>
      <c r="O27" s="50"/>
      <c r="P27" s="50"/>
    </row>
    <row r="28" spans="1:16" x14ac:dyDescent="0.2">
      <c r="A28" s="87" t="s">
        <v>29</v>
      </c>
      <c r="B28" s="40">
        <v>4100</v>
      </c>
      <c r="C28" s="88">
        <v>4100</v>
      </c>
      <c r="D28" s="89">
        <v>77.606805660218825</v>
      </c>
      <c r="E28" s="88">
        <v>320.29046644394725</v>
      </c>
      <c r="F28" s="97">
        <f t="shared" si="0"/>
        <v>8.7168099946643611</v>
      </c>
      <c r="G28" s="74"/>
      <c r="H28" s="16"/>
      <c r="I28" s="16"/>
      <c r="J28" s="16"/>
      <c r="K28" s="46"/>
      <c r="L28" s="46"/>
      <c r="M28" s="46"/>
      <c r="N28" s="46"/>
      <c r="O28" s="50"/>
      <c r="P28" s="50"/>
    </row>
    <row r="29" spans="1:16" x14ac:dyDescent="0.2">
      <c r="A29" s="87" t="s">
        <v>30</v>
      </c>
      <c r="B29" s="40">
        <v>9800</v>
      </c>
      <c r="C29" s="88">
        <v>9800</v>
      </c>
      <c r="D29" s="89">
        <v>63.587520422696464</v>
      </c>
      <c r="E29" s="88">
        <v>627.27548230195669</v>
      </c>
      <c r="F29" s="90">
        <f t="shared" si="0"/>
        <v>17.071507791801565</v>
      </c>
      <c r="G29" s="74"/>
      <c r="H29" s="16"/>
      <c r="I29" s="16"/>
      <c r="J29" s="16"/>
      <c r="K29" s="46"/>
      <c r="L29" s="46"/>
      <c r="M29" s="46"/>
      <c r="N29" s="46"/>
      <c r="O29" s="50"/>
      <c r="P29" s="50"/>
    </row>
    <row r="30" spans="1:16" x14ac:dyDescent="0.2">
      <c r="A30" s="87" t="s">
        <v>31</v>
      </c>
      <c r="B30" s="40" t="s">
        <v>63</v>
      </c>
      <c r="C30" s="88" t="s">
        <v>63</v>
      </c>
      <c r="D30" s="89" t="s">
        <v>63</v>
      </c>
      <c r="E30" s="40">
        <v>0</v>
      </c>
      <c r="F30" s="96"/>
      <c r="G30" s="74"/>
      <c r="H30" s="16"/>
      <c r="I30" s="16"/>
      <c r="J30" s="16"/>
      <c r="K30" s="46"/>
      <c r="L30" s="46"/>
      <c r="M30" s="46"/>
      <c r="N30" s="46"/>
      <c r="O30" s="50"/>
      <c r="P30" s="50"/>
    </row>
    <row r="31" spans="1:16" x14ac:dyDescent="0.2">
      <c r="A31" s="87" t="s">
        <v>32</v>
      </c>
      <c r="B31" s="40">
        <v>13500</v>
      </c>
      <c r="C31" s="88">
        <v>13500</v>
      </c>
      <c r="D31" s="89">
        <v>73.497544196564718</v>
      </c>
      <c r="E31" s="88">
        <v>998.77334564032174</v>
      </c>
      <c r="F31" s="97">
        <f t="shared" si="0"/>
        <v>27.181943872205579</v>
      </c>
      <c r="G31" s="74"/>
      <c r="H31" s="16"/>
      <c r="I31" s="16"/>
      <c r="J31" s="16"/>
      <c r="K31" s="46"/>
      <c r="L31" s="46"/>
      <c r="M31" s="46"/>
      <c r="N31" s="46"/>
      <c r="O31" s="50"/>
      <c r="P31" s="50"/>
    </row>
    <row r="32" spans="1:16" x14ac:dyDescent="0.2">
      <c r="A32" s="87" t="s">
        <v>33</v>
      </c>
      <c r="B32" s="40" t="s">
        <v>63</v>
      </c>
      <c r="C32" s="88" t="s">
        <v>63</v>
      </c>
      <c r="D32" s="89" t="s">
        <v>63</v>
      </c>
      <c r="E32" s="40">
        <v>0</v>
      </c>
      <c r="F32" s="96"/>
      <c r="G32" s="74"/>
      <c r="H32" s="16"/>
      <c r="I32" s="16"/>
      <c r="J32" s="16"/>
      <c r="K32" s="46"/>
      <c r="L32" s="46"/>
      <c r="M32" s="46"/>
      <c r="N32" s="46"/>
      <c r="O32" s="50"/>
      <c r="P32" s="50"/>
    </row>
    <row r="33" spans="1:16" x14ac:dyDescent="0.2">
      <c r="A33" s="87" t="s">
        <v>34</v>
      </c>
      <c r="B33" s="40">
        <v>8400</v>
      </c>
      <c r="C33" s="88">
        <v>8400</v>
      </c>
      <c r="D33" s="89">
        <v>67.222407624862171</v>
      </c>
      <c r="E33" s="88">
        <v>568.39951187295355</v>
      </c>
      <c r="F33" s="97">
        <f t="shared" si="0"/>
        <v>15.469178964537164</v>
      </c>
      <c r="G33" s="74"/>
      <c r="H33" s="16"/>
      <c r="I33" s="16"/>
      <c r="J33" s="16"/>
      <c r="K33" s="46"/>
      <c r="L33" s="46"/>
      <c r="M33" s="46"/>
      <c r="N33" s="46"/>
      <c r="O33" s="50"/>
      <c r="P33" s="50"/>
    </row>
    <row r="34" spans="1:16" x14ac:dyDescent="0.2">
      <c r="A34" s="87" t="s">
        <v>35</v>
      </c>
      <c r="B34" s="40">
        <v>11300</v>
      </c>
      <c r="C34" s="88">
        <v>11300</v>
      </c>
      <c r="D34" s="89">
        <v>74.260497161037193</v>
      </c>
      <c r="E34" s="88">
        <v>844.68861980024701</v>
      </c>
      <c r="F34" s="97">
        <f t="shared" si="0"/>
        <v>22.988477569133654</v>
      </c>
      <c r="G34" s="74"/>
      <c r="H34" s="16"/>
      <c r="I34" s="16"/>
      <c r="J34" s="16"/>
      <c r="K34" s="46"/>
      <c r="L34" s="46"/>
      <c r="M34" s="46"/>
      <c r="N34" s="46"/>
      <c r="O34" s="50"/>
      <c r="P34" s="50"/>
    </row>
    <row r="35" spans="1:16" x14ac:dyDescent="0.2">
      <c r="A35" s="87" t="s">
        <v>36</v>
      </c>
      <c r="B35" s="40">
        <v>11500</v>
      </c>
      <c r="C35" s="88">
        <v>11500</v>
      </c>
      <c r="D35" s="89">
        <v>78.277239218137453</v>
      </c>
      <c r="E35" s="88">
        <v>906.13663152185336</v>
      </c>
      <c r="F35" s="97">
        <f t="shared" si="0"/>
        <v>24.66080534296357</v>
      </c>
      <c r="G35" s="74"/>
      <c r="H35" s="16"/>
      <c r="I35" s="16"/>
      <c r="J35" s="16"/>
      <c r="K35" s="46"/>
      <c r="L35" s="46"/>
      <c r="M35" s="46"/>
      <c r="N35" s="46"/>
      <c r="O35" s="50"/>
      <c r="P35" s="50"/>
    </row>
    <row r="36" spans="1:16" s="17" customFormat="1" ht="15" x14ac:dyDescent="0.25">
      <c r="A36" s="91" t="s">
        <v>37</v>
      </c>
      <c r="B36" s="92">
        <v>79780.660792951545</v>
      </c>
      <c r="C36" s="93">
        <v>79320.70484581498</v>
      </c>
      <c r="D36" s="94">
        <v>77.776231750257907</v>
      </c>
      <c r="E36" s="93">
        <v>6169.2655226819115</v>
      </c>
      <c r="F36" s="98">
        <f t="shared" si="0"/>
        <v>167.89858269872391</v>
      </c>
      <c r="G36" s="74"/>
      <c r="H36" s="16"/>
      <c r="I36" s="16"/>
      <c r="J36" s="16"/>
      <c r="K36" s="47"/>
      <c r="L36" s="46"/>
      <c r="M36" s="47"/>
      <c r="N36" s="47"/>
      <c r="O36" s="50"/>
      <c r="P36" s="50"/>
    </row>
    <row r="37" spans="1:16" x14ac:dyDescent="0.2">
      <c r="A37" s="87" t="s">
        <v>38</v>
      </c>
      <c r="B37" s="40">
        <v>809.95594713656396</v>
      </c>
      <c r="C37" s="88">
        <v>805.28634361233492</v>
      </c>
      <c r="D37" s="89">
        <v>70.749158483104296</v>
      </c>
      <c r="E37" s="88">
        <v>56.97333114850867</v>
      </c>
      <c r="F37" s="97">
        <f t="shared" si="0"/>
        <v>1.5505478758030882</v>
      </c>
      <c r="G37" s="74"/>
      <c r="H37" s="16"/>
      <c r="I37" s="16"/>
      <c r="J37" s="16"/>
      <c r="K37" s="46"/>
      <c r="L37" s="46"/>
      <c r="M37" s="46"/>
      <c r="N37" s="46"/>
      <c r="O37" s="50"/>
      <c r="P37" s="50"/>
    </row>
    <row r="38" spans="1:16" x14ac:dyDescent="0.2">
      <c r="A38" s="87" t="s">
        <v>39</v>
      </c>
      <c r="B38" s="40">
        <v>303.73348017621146</v>
      </c>
      <c r="C38" s="88">
        <v>301.98237885462555</v>
      </c>
      <c r="D38" s="89">
        <v>49.238614479338736</v>
      </c>
      <c r="E38" s="88">
        <v>14.86919393197652</v>
      </c>
      <c r="F38" s="97">
        <f t="shared" si="0"/>
        <v>0.40466998508536145</v>
      </c>
      <c r="G38" s="74"/>
      <c r="H38" s="16"/>
      <c r="I38" s="16"/>
      <c r="J38" s="16"/>
      <c r="K38" s="46"/>
      <c r="L38" s="46"/>
      <c r="M38" s="46"/>
      <c r="N38" s="46"/>
      <c r="O38" s="50"/>
      <c r="P38" s="50"/>
    </row>
    <row r="39" spans="1:16" x14ac:dyDescent="0.2">
      <c r="A39" s="87" t="s">
        <v>40</v>
      </c>
      <c r="B39" s="40">
        <v>809.95594713656396</v>
      </c>
      <c r="C39" s="88">
        <v>805.28634361233492</v>
      </c>
      <c r="D39" s="89">
        <v>46.368109958617879</v>
      </c>
      <c r="E39" s="88">
        <v>37.339605728790083</v>
      </c>
      <c r="F39" s="96">
        <f t="shared" si="0"/>
        <v>1.0162096050726672</v>
      </c>
      <c r="G39" s="74"/>
      <c r="H39" s="16"/>
      <c r="I39" s="16"/>
      <c r="J39" s="16"/>
      <c r="K39" s="46"/>
      <c r="L39" s="46"/>
      <c r="M39" s="46"/>
      <c r="N39" s="46"/>
      <c r="O39" s="50"/>
      <c r="P39" s="50"/>
    </row>
    <row r="40" spans="1:16" x14ac:dyDescent="0.2">
      <c r="A40" s="87" t="s">
        <v>41</v>
      </c>
      <c r="B40" s="40">
        <v>3239.8237885462559</v>
      </c>
      <c r="C40" s="88">
        <v>3221.1453744493397</v>
      </c>
      <c r="D40" s="89">
        <v>41.111598304509926</v>
      </c>
      <c r="E40" s="88">
        <v>132.42643471479144</v>
      </c>
      <c r="F40" s="97">
        <f t="shared" si="0"/>
        <v>3.6040288132699607</v>
      </c>
      <c r="G40" s="74"/>
      <c r="H40" s="16"/>
      <c r="I40" s="16"/>
      <c r="J40" s="16"/>
      <c r="K40" s="46"/>
      <c r="L40" s="46"/>
      <c r="M40" s="46"/>
      <c r="N40" s="46"/>
      <c r="O40" s="50"/>
      <c r="P40" s="50"/>
    </row>
    <row r="41" spans="1:16" x14ac:dyDescent="0.2">
      <c r="A41" s="87" t="s">
        <v>42</v>
      </c>
      <c r="B41" s="40">
        <v>17414.052863436122</v>
      </c>
      <c r="C41" s="88">
        <v>17313.656387665196</v>
      </c>
      <c r="D41" s="89">
        <v>54.188414764140859</v>
      </c>
      <c r="E41" s="88">
        <v>938.19959341861841</v>
      </c>
      <c r="F41" s="97">
        <f t="shared" si="0"/>
        <v>25.53340935713636</v>
      </c>
      <c r="G41" s="74"/>
      <c r="H41" s="16"/>
      <c r="I41" s="16"/>
      <c r="J41" s="16"/>
      <c r="K41" s="46"/>
      <c r="L41" s="46"/>
      <c r="M41" s="46"/>
      <c r="N41" s="46"/>
      <c r="O41" s="50"/>
      <c r="P41" s="50"/>
    </row>
    <row r="42" spans="1:16" x14ac:dyDescent="0.2">
      <c r="A42" s="87" t="s">
        <v>43</v>
      </c>
      <c r="B42" s="40">
        <v>4859.7356828193833</v>
      </c>
      <c r="C42" s="88">
        <v>4831.7180616740088</v>
      </c>
      <c r="D42" s="89">
        <v>59.284810304935434</v>
      </c>
      <c r="E42" s="88">
        <v>286.44748873327393</v>
      </c>
      <c r="F42" s="97">
        <f t="shared" si="0"/>
        <v>7.7957622668537425</v>
      </c>
      <c r="G42" s="74"/>
      <c r="H42" s="16"/>
      <c r="I42" s="16"/>
      <c r="J42" s="16"/>
      <c r="K42" s="46"/>
      <c r="L42" s="46"/>
      <c r="M42" s="46"/>
      <c r="N42" s="46"/>
      <c r="O42" s="50"/>
      <c r="P42" s="50"/>
    </row>
    <row r="43" spans="1:16" x14ac:dyDescent="0.2">
      <c r="A43" s="87" t="s">
        <v>44</v>
      </c>
      <c r="B43" s="40">
        <v>809.95594713656396</v>
      </c>
      <c r="C43" s="88">
        <v>805.28634361233492</v>
      </c>
      <c r="D43" s="89">
        <v>49.405053581811025</v>
      </c>
      <c r="E43" s="88">
        <v>39.785214954868088</v>
      </c>
      <c r="F43" s="96">
        <f t="shared" si="0"/>
        <v>1.0827676615193798</v>
      </c>
      <c r="G43" s="74"/>
      <c r="H43" s="16"/>
      <c r="I43" s="16"/>
      <c r="J43" s="16"/>
      <c r="K43" s="46"/>
      <c r="L43" s="46"/>
      <c r="M43" s="46"/>
      <c r="N43" s="46"/>
      <c r="O43" s="50"/>
      <c r="P43" s="50"/>
    </row>
    <row r="44" spans="1:16" x14ac:dyDescent="0.2">
      <c r="A44" s="87" t="s">
        <v>45</v>
      </c>
      <c r="B44" s="40">
        <v>15389.162995594714</v>
      </c>
      <c r="C44" s="88">
        <v>15300.440528634361</v>
      </c>
      <c r="D44" s="89">
        <v>62.564962616618651</v>
      </c>
      <c r="E44" s="88">
        <v>957.27148969180564</v>
      </c>
      <c r="F44" s="97">
        <f t="shared" si="0"/>
        <v>26.052457263547943</v>
      </c>
      <c r="G44" s="74"/>
      <c r="H44" s="16"/>
      <c r="I44" s="16"/>
      <c r="J44" s="16"/>
      <c r="K44" s="46"/>
      <c r="L44" s="46"/>
      <c r="M44" s="46"/>
      <c r="N44" s="46"/>
      <c r="O44" s="50"/>
      <c r="P44" s="50"/>
    </row>
    <row r="45" spans="1:16" s="17" customFormat="1" ht="15" x14ac:dyDescent="0.25">
      <c r="A45" s="91" t="s">
        <v>46</v>
      </c>
      <c r="B45" s="92">
        <v>43636.376651982384</v>
      </c>
      <c r="C45" s="93">
        <v>43384.801762114534</v>
      </c>
      <c r="D45" s="94">
        <v>56.778232290407807</v>
      </c>
      <c r="E45" s="93">
        <v>2463.3123523226327</v>
      </c>
      <c r="F45" s="98">
        <f t="shared" si="0"/>
        <v>67.039852828288502</v>
      </c>
      <c r="G45" s="74"/>
      <c r="H45" s="16"/>
      <c r="I45" s="16"/>
      <c r="J45" s="16"/>
      <c r="K45" s="47"/>
      <c r="L45" s="46"/>
      <c r="M45" s="47"/>
      <c r="N45" s="47"/>
      <c r="O45" s="50"/>
      <c r="P45" s="50"/>
    </row>
    <row r="46" spans="1:16" x14ac:dyDescent="0.2">
      <c r="A46" s="87" t="s">
        <v>47</v>
      </c>
      <c r="B46" s="40" t="s">
        <v>63</v>
      </c>
      <c r="C46" s="40" t="s">
        <v>63</v>
      </c>
      <c r="D46" s="40" t="s">
        <v>63</v>
      </c>
      <c r="E46" s="40">
        <v>0</v>
      </c>
      <c r="F46" s="96"/>
      <c r="G46" s="74"/>
      <c r="H46" s="16"/>
      <c r="I46" s="16"/>
      <c r="J46" s="16"/>
      <c r="K46" s="46"/>
      <c r="L46" s="46"/>
      <c r="M46" s="46"/>
      <c r="N46" s="46"/>
      <c r="O46" s="50"/>
      <c r="P46" s="50"/>
    </row>
    <row r="47" spans="1:16" x14ac:dyDescent="0.2">
      <c r="A47" s="87" t="s">
        <v>48</v>
      </c>
      <c r="B47" s="40" t="s">
        <v>63</v>
      </c>
      <c r="C47" s="40" t="s">
        <v>63</v>
      </c>
      <c r="D47" s="40" t="s">
        <v>63</v>
      </c>
      <c r="E47" s="40">
        <v>0</v>
      </c>
      <c r="F47" s="96"/>
      <c r="G47" s="74"/>
      <c r="H47" s="16"/>
      <c r="I47" s="16"/>
      <c r="J47" s="16"/>
      <c r="K47" s="46"/>
      <c r="L47" s="46"/>
      <c r="M47" s="46"/>
      <c r="N47" s="46"/>
      <c r="O47" s="50"/>
      <c r="P47" s="50"/>
    </row>
    <row r="48" spans="1:16" x14ac:dyDescent="0.2">
      <c r="A48" s="99" t="s">
        <v>49</v>
      </c>
      <c r="B48" s="40" t="s">
        <v>63</v>
      </c>
      <c r="C48" s="88" t="s">
        <v>63</v>
      </c>
      <c r="D48" s="89" t="s">
        <v>63</v>
      </c>
      <c r="E48" s="40">
        <v>0</v>
      </c>
      <c r="F48" s="97">
        <f t="shared" si="0"/>
        <v>0</v>
      </c>
      <c r="G48" s="74"/>
      <c r="H48" s="16"/>
      <c r="I48" s="16"/>
      <c r="J48" s="16"/>
      <c r="K48" s="46"/>
      <c r="L48" s="46"/>
      <c r="M48" s="46"/>
      <c r="N48" s="46"/>
      <c r="O48" s="50"/>
      <c r="P48" s="50"/>
    </row>
    <row r="49" spans="1:16" x14ac:dyDescent="0.2">
      <c r="A49" s="87" t="s">
        <v>50</v>
      </c>
      <c r="B49" s="40" t="s">
        <v>63</v>
      </c>
      <c r="C49" s="40" t="s">
        <v>63</v>
      </c>
      <c r="D49" s="40" t="s">
        <v>63</v>
      </c>
      <c r="E49" s="40">
        <v>0</v>
      </c>
      <c r="F49" s="96"/>
      <c r="G49" s="74"/>
      <c r="H49" s="16"/>
      <c r="I49" s="16"/>
      <c r="J49" s="16"/>
      <c r="K49" s="46"/>
      <c r="L49" s="46"/>
      <c r="M49" s="46"/>
      <c r="N49" s="46"/>
      <c r="O49" s="50"/>
      <c r="P49" s="50"/>
    </row>
    <row r="50" spans="1:16" x14ac:dyDescent="0.2">
      <c r="A50" s="87" t="s">
        <v>51</v>
      </c>
      <c r="B50" s="40" t="s">
        <v>63</v>
      </c>
      <c r="C50" s="88" t="s">
        <v>63</v>
      </c>
      <c r="D50" s="89" t="s">
        <v>63</v>
      </c>
      <c r="E50" s="40">
        <v>0</v>
      </c>
      <c r="F50" s="96"/>
      <c r="G50" s="74"/>
      <c r="H50" s="16"/>
      <c r="I50" s="16"/>
      <c r="J50" s="16"/>
      <c r="K50" s="46"/>
      <c r="L50" s="46"/>
      <c r="M50" s="46"/>
      <c r="N50" s="46"/>
      <c r="O50" s="50"/>
      <c r="P50" s="50"/>
    </row>
    <row r="51" spans="1:16" x14ac:dyDescent="0.2">
      <c r="A51" s="87" t="s">
        <v>52</v>
      </c>
      <c r="B51" s="40">
        <v>500</v>
      </c>
      <c r="C51" s="88">
        <v>500</v>
      </c>
      <c r="D51" s="89">
        <v>64.632258064516122</v>
      </c>
      <c r="E51" s="88">
        <v>32.316129032258061</v>
      </c>
      <c r="F51" s="97">
        <f t="shared" si="0"/>
        <v>0.87949404072115345</v>
      </c>
      <c r="G51" s="74"/>
      <c r="H51" s="16"/>
      <c r="I51" s="16"/>
      <c r="J51" s="16"/>
      <c r="K51" s="46"/>
      <c r="L51" s="46"/>
      <c r="M51" s="46"/>
      <c r="N51" s="46"/>
      <c r="O51" s="50"/>
      <c r="P51" s="50"/>
    </row>
    <row r="52" spans="1:16" x14ac:dyDescent="0.2">
      <c r="A52" s="87" t="s">
        <v>53</v>
      </c>
      <c r="B52" s="40" t="s">
        <v>63</v>
      </c>
      <c r="C52" s="88" t="s">
        <v>63</v>
      </c>
      <c r="D52" s="89" t="s">
        <v>63</v>
      </c>
      <c r="E52" s="40">
        <v>0</v>
      </c>
      <c r="F52" s="96"/>
      <c r="G52" s="74"/>
      <c r="H52" s="16"/>
      <c r="I52" s="16"/>
      <c r="J52" s="16"/>
      <c r="K52" s="46"/>
      <c r="L52" s="46"/>
      <c r="M52" s="46"/>
      <c r="N52" s="46"/>
      <c r="O52" s="50"/>
      <c r="P52" s="50"/>
    </row>
    <row r="53" spans="1:16" x14ac:dyDescent="0.2">
      <c r="A53" s="87" t="s">
        <v>54</v>
      </c>
      <c r="B53" s="40" t="s">
        <v>63</v>
      </c>
      <c r="C53" s="40" t="s">
        <v>63</v>
      </c>
      <c r="D53" s="40" t="s">
        <v>63</v>
      </c>
      <c r="E53" s="40">
        <v>0</v>
      </c>
      <c r="F53" s="96"/>
      <c r="G53" s="74"/>
      <c r="H53" s="16"/>
      <c r="I53" s="16"/>
      <c r="J53" s="16"/>
      <c r="K53" s="46"/>
      <c r="L53" s="46"/>
      <c r="M53" s="46"/>
      <c r="N53" s="46"/>
      <c r="O53" s="50"/>
      <c r="P53" s="50"/>
    </row>
    <row r="54" spans="1:16" x14ac:dyDescent="0.2">
      <c r="A54" s="87" t="s">
        <v>55</v>
      </c>
      <c r="B54" s="40" t="s">
        <v>63</v>
      </c>
      <c r="C54" s="88" t="s">
        <v>63</v>
      </c>
      <c r="D54" s="89" t="s">
        <v>63</v>
      </c>
      <c r="E54" s="40">
        <v>0</v>
      </c>
      <c r="F54" s="96"/>
      <c r="G54" s="74"/>
      <c r="H54" s="16"/>
      <c r="I54" s="16"/>
      <c r="J54" s="16"/>
      <c r="K54" s="46"/>
      <c r="L54" s="46"/>
      <c r="M54" s="46"/>
      <c r="N54" s="46"/>
      <c r="O54" s="50"/>
      <c r="P54" s="50"/>
    </row>
    <row r="55" spans="1:16" x14ac:dyDescent="0.2">
      <c r="A55" s="87" t="s">
        <v>56</v>
      </c>
      <c r="B55" s="40">
        <v>2000</v>
      </c>
      <c r="C55" s="88">
        <v>1988.4694876536496</v>
      </c>
      <c r="D55" s="89">
        <v>80</v>
      </c>
      <c r="E55" s="88">
        <v>159.07755901229194</v>
      </c>
      <c r="F55" s="97">
        <f t="shared" si="0"/>
        <v>4.3293478938681673</v>
      </c>
      <c r="G55" s="74"/>
      <c r="H55" s="16"/>
      <c r="I55" s="16"/>
      <c r="J55" s="16"/>
      <c r="K55" s="46"/>
      <c r="L55" s="46"/>
      <c r="M55" s="46"/>
      <c r="N55" s="46"/>
      <c r="O55" s="50"/>
      <c r="P55" s="50"/>
    </row>
    <row r="56" spans="1:16" s="17" customFormat="1" ht="15" x14ac:dyDescent="0.25">
      <c r="A56" s="91" t="s">
        <v>57</v>
      </c>
      <c r="B56" s="92">
        <v>11339.383259911894</v>
      </c>
      <c r="C56" s="93">
        <v>11274.01</v>
      </c>
      <c r="D56" s="94">
        <v>80.353348382242288</v>
      </c>
      <c r="E56" s="93">
        <v>905.90445319488344</v>
      </c>
      <c r="F56" s="95">
        <f t="shared" si="0"/>
        <v>24.654486533716618</v>
      </c>
      <c r="G56" s="74"/>
      <c r="H56" s="16"/>
      <c r="I56" s="16"/>
      <c r="J56" s="16"/>
      <c r="K56" s="47"/>
      <c r="L56" s="46"/>
      <c r="M56" s="47"/>
      <c r="N56" s="47"/>
      <c r="O56" s="50"/>
      <c r="P56" s="50"/>
    </row>
    <row r="57" spans="1:16" s="17" customFormat="1" ht="15" x14ac:dyDescent="0.25">
      <c r="A57" s="100" t="s">
        <v>0</v>
      </c>
      <c r="B57" s="101">
        <v>919300</v>
      </c>
      <c r="C57" s="102">
        <v>914000.00118942722</v>
      </c>
      <c r="D57" s="103">
        <v>83.598468162544549</v>
      </c>
      <c r="E57" s="102">
        <v>76409.000000000015</v>
      </c>
      <c r="F57" s="104">
        <f t="shared" si="0"/>
        <v>2079.4959721315049</v>
      </c>
      <c r="G57" s="74"/>
      <c r="H57" s="16"/>
      <c r="I57" s="16"/>
      <c r="J57" s="16"/>
      <c r="K57" s="47"/>
      <c r="L57" s="46"/>
      <c r="M57" s="47"/>
      <c r="N57" s="47"/>
      <c r="O57" s="50"/>
      <c r="P57" s="50"/>
    </row>
    <row r="58" spans="1:16" s="22" customFormat="1" x14ac:dyDescent="0.2">
      <c r="A58" s="20"/>
      <c r="B58" s="20"/>
      <c r="C58" s="16"/>
      <c r="D58" s="20"/>
      <c r="E58" s="15"/>
      <c r="F58" s="21"/>
      <c r="G58" s="20"/>
      <c r="H58" s="20"/>
      <c r="I58" s="20"/>
      <c r="J58" s="20"/>
      <c r="K58" s="40"/>
      <c r="L58" s="40"/>
      <c r="M58" s="40"/>
      <c r="N58" s="40"/>
    </row>
    <row r="59" spans="1:16" ht="171" x14ac:dyDescent="0.2">
      <c r="A59" s="105" t="s">
        <v>58</v>
      </c>
      <c r="B59" s="105"/>
      <c r="C59" s="105"/>
      <c r="D59" s="105"/>
      <c r="E59" s="105"/>
      <c r="F59" s="105"/>
      <c r="G59" s="3"/>
      <c r="H59" s="3"/>
      <c r="I59" s="3"/>
      <c r="J59" s="3"/>
    </row>
    <row r="60" spans="1:16" ht="15" x14ac:dyDescent="0.2">
      <c r="A60"/>
      <c r="B60" s="6"/>
      <c r="C60" s="6"/>
      <c r="D60" s="8"/>
      <c r="E60" s="12"/>
      <c r="F60" s="14"/>
      <c r="G60" s="3"/>
      <c r="H60" s="3"/>
      <c r="I60" s="3"/>
      <c r="J60" s="3"/>
    </row>
    <row r="61" spans="1:16" ht="15" x14ac:dyDescent="0.25">
      <c r="A61" s="17" t="s">
        <v>60</v>
      </c>
      <c r="B61" s="6"/>
      <c r="C61" s="6"/>
      <c r="D61" s="8"/>
      <c r="E61" s="6"/>
      <c r="F61" s="7"/>
      <c r="G61" s="3"/>
      <c r="H61" s="3"/>
      <c r="I61" s="3"/>
      <c r="J61" s="3"/>
    </row>
    <row r="62" spans="1:16" x14ac:dyDescent="0.2">
      <c r="A62" s="41" t="s">
        <v>147</v>
      </c>
      <c r="B62" s="6"/>
      <c r="C62" s="6"/>
      <c r="D62" s="8"/>
      <c r="E62" s="6"/>
      <c r="F62" s="7"/>
      <c r="G62" s="3"/>
      <c r="H62" s="3"/>
      <c r="I62" s="3"/>
      <c r="J62" s="3"/>
    </row>
    <row r="63" spans="1:16" x14ac:dyDescent="0.2">
      <c r="A63" s="3"/>
      <c r="B63" s="6"/>
      <c r="C63" s="6"/>
      <c r="D63" s="8"/>
      <c r="E63" s="6"/>
      <c r="F63" s="7"/>
      <c r="G63" s="3"/>
      <c r="H63" s="3"/>
      <c r="I63" s="3"/>
      <c r="J63" s="3"/>
    </row>
    <row r="64" spans="1:16" x14ac:dyDescent="0.2">
      <c r="A64" s="3"/>
      <c r="B64" s="6"/>
      <c r="C64" s="6"/>
      <c r="D64" s="8"/>
      <c r="E64" s="6"/>
      <c r="F64" s="7"/>
      <c r="G64" s="3"/>
      <c r="H64" s="3"/>
      <c r="I64" s="3"/>
      <c r="J64" s="3"/>
    </row>
    <row r="65" spans="1:10" x14ac:dyDescent="0.2">
      <c r="A65" s="3"/>
      <c r="B65" s="6"/>
      <c r="C65" s="6"/>
      <c r="D65" s="8"/>
      <c r="E65" s="6"/>
      <c r="F65" s="7"/>
      <c r="G65" s="3"/>
      <c r="H65" s="3"/>
      <c r="I65" s="3"/>
      <c r="J65" s="3"/>
    </row>
    <row r="66" spans="1:10" x14ac:dyDescent="0.2">
      <c r="A66" s="3"/>
      <c r="B66" s="6"/>
      <c r="C66" s="6"/>
      <c r="D66" s="8"/>
      <c r="E66" s="6"/>
      <c r="F66" s="7"/>
      <c r="G66" s="3"/>
      <c r="H66" s="3"/>
      <c r="I66" s="3"/>
      <c r="J66" s="3"/>
    </row>
    <row r="67" spans="1:10" x14ac:dyDescent="0.2">
      <c r="A67" s="3"/>
      <c r="B67" s="6"/>
      <c r="C67" s="6"/>
      <c r="D67" s="8"/>
      <c r="E67" s="6"/>
      <c r="F67" s="7"/>
      <c r="G67" s="3"/>
      <c r="H67" s="3"/>
      <c r="I67" s="3"/>
      <c r="J67" s="3"/>
    </row>
    <row r="68" spans="1:10" x14ac:dyDescent="0.2">
      <c r="A68" s="3"/>
      <c r="B68" s="6"/>
      <c r="C68" s="6"/>
      <c r="D68" s="8"/>
      <c r="E68" s="6"/>
      <c r="F68" s="7"/>
      <c r="G68" s="3"/>
      <c r="H68" s="3"/>
      <c r="I68" s="3"/>
      <c r="J68" s="3"/>
    </row>
    <row r="69" spans="1:10" x14ac:dyDescent="0.2">
      <c r="A69" s="3"/>
      <c r="B69" s="6"/>
      <c r="C69" s="6"/>
      <c r="D69" s="8"/>
      <c r="E69" s="6"/>
      <c r="F69" s="7"/>
      <c r="G69" s="3"/>
      <c r="H69" s="3"/>
      <c r="I69" s="3"/>
      <c r="J69" s="3"/>
    </row>
    <row r="70" spans="1:10" x14ac:dyDescent="0.2">
      <c r="A70" s="3"/>
      <c r="B70" s="3"/>
      <c r="C70" s="3"/>
      <c r="D70" s="3"/>
      <c r="E70" s="6"/>
      <c r="F70" s="7"/>
      <c r="G70" s="3"/>
      <c r="H70" s="3"/>
      <c r="I70" s="3"/>
      <c r="J70" s="3"/>
    </row>
    <row r="71" spans="1:10" x14ac:dyDescent="0.2">
      <c r="A71" s="3"/>
      <c r="B71" s="3"/>
      <c r="C71" s="3"/>
      <c r="D71" s="3"/>
      <c r="E71" s="6"/>
      <c r="F71" s="7"/>
      <c r="G71" s="3"/>
      <c r="H71" s="3"/>
      <c r="I71" s="3"/>
      <c r="J71" s="3"/>
    </row>
    <row r="72" spans="1:10" x14ac:dyDescent="0.2">
      <c r="A72" s="3"/>
      <c r="B72" s="3"/>
      <c r="C72" s="3"/>
      <c r="D72" s="3"/>
      <c r="E72" s="6"/>
      <c r="F72" s="7"/>
      <c r="G72" s="3"/>
      <c r="H72" s="3"/>
      <c r="I72" s="3"/>
      <c r="J72" s="3"/>
    </row>
    <row r="73" spans="1:10" x14ac:dyDescent="0.2">
      <c r="A73" s="3"/>
      <c r="B73" s="3"/>
      <c r="C73" s="3"/>
      <c r="D73" s="3"/>
      <c r="E73" s="6"/>
      <c r="F73" s="7"/>
      <c r="G73" s="3"/>
      <c r="H73" s="3"/>
      <c r="I73" s="3"/>
      <c r="J73" s="3"/>
    </row>
    <row r="74" spans="1:10" x14ac:dyDescent="0.2">
      <c r="A74" s="3"/>
      <c r="B74" s="3"/>
      <c r="C74" s="3"/>
      <c r="D74" s="3"/>
      <c r="E74" s="3"/>
      <c r="F74" s="3"/>
      <c r="G74" s="3"/>
      <c r="H74" s="3"/>
      <c r="I74" s="3"/>
      <c r="J74" s="3"/>
    </row>
    <row r="75" spans="1:10" x14ac:dyDescent="0.2">
      <c r="A75" s="3"/>
      <c r="B75" s="3"/>
      <c r="C75" s="3"/>
      <c r="D75" s="3"/>
      <c r="E75" s="3"/>
      <c r="F75" s="3"/>
      <c r="G75" s="3"/>
      <c r="H75" s="3"/>
      <c r="I75" s="3"/>
      <c r="J75" s="3"/>
    </row>
    <row r="76" spans="1:10" x14ac:dyDescent="0.2">
      <c r="A76" s="3"/>
      <c r="B76" s="3"/>
      <c r="C76" s="3"/>
      <c r="D76" s="3"/>
      <c r="E76" s="3"/>
      <c r="F76" s="3"/>
      <c r="G76" s="3"/>
      <c r="H76" s="3"/>
      <c r="I76" s="3"/>
      <c r="J76" s="3"/>
    </row>
    <row r="77" spans="1:10" x14ac:dyDescent="0.2">
      <c r="A77" s="3"/>
      <c r="B77" s="3"/>
      <c r="C77" s="3"/>
      <c r="D77" s="3"/>
      <c r="E77" s="3"/>
      <c r="F77" s="3"/>
      <c r="G77" s="3"/>
      <c r="H77" s="3"/>
      <c r="I77" s="3"/>
      <c r="J77" s="3"/>
    </row>
    <row r="78" spans="1:10" x14ac:dyDescent="0.2">
      <c r="A78" s="3"/>
      <c r="B78" s="3"/>
      <c r="C78" s="3"/>
      <c r="D78" s="3"/>
      <c r="E78" s="3"/>
      <c r="F78" s="3"/>
      <c r="G78" s="3"/>
      <c r="H78" s="3"/>
      <c r="I78" s="3"/>
      <c r="J78" s="3"/>
    </row>
    <row r="79" spans="1:10" x14ac:dyDescent="0.2">
      <c r="A79" s="3"/>
      <c r="B79" s="3"/>
      <c r="C79" s="3"/>
      <c r="D79" s="3"/>
      <c r="E79" s="3"/>
      <c r="F79" s="3"/>
      <c r="G79" s="3"/>
      <c r="H79" s="3"/>
      <c r="I79" s="3"/>
      <c r="J79" s="3"/>
    </row>
    <row r="80" spans="1:10" x14ac:dyDescent="0.2">
      <c r="A80" s="3"/>
      <c r="E80" s="3"/>
      <c r="F80" s="3"/>
      <c r="G80" s="3"/>
      <c r="H80" s="3"/>
      <c r="I80" s="3"/>
      <c r="J80" s="3"/>
    </row>
    <row r="81" spans="1:10" x14ac:dyDescent="0.2">
      <c r="A81" s="3"/>
      <c r="E81" s="3"/>
      <c r="F81" s="3"/>
      <c r="G81" s="3"/>
      <c r="H81" s="3"/>
      <c r="I81" s="3"/>
      <c r="J81" s="3"/>
    </row>
    <row r="82" spans="1:10" x14ac:dyDescent="0.2">
      <c r="A82" s="3"/>
      <c r="E82" s="3"/>
      <c r="F82" s="3"/>
      <c r="G82" s="3"/>
      <c r="H82" s="3"/>
      <c r="I82" s="3"/>
      <c r="J82" s="3"/>
    </row>
    <row r="83" spans="1:10" x14ac:dyDescent="0.2">
      <c r="A83" s="3"/>
      <c r="E83" s="3"/>
      <c r="F83" s="3"/>
      <c r="G83" s="3"/>
      <c r="H83" s="3"/>
      <c r="I83" s="3"/>
      <c r="J83" s="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2"/>
  <sheetViews>
    <sheetView workbookViewId="0">
      <selection activeCell="A61" sqref="A61"/>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2" width="9.77734375" style="1"/>
    <col min="13" max="13" width="12.44140625" style="1" bestFit="1" customWidth="1"/>
    <col min="14" max="14" width="10.21875" style="1" bestFit="1" customWidth="1"/>
    <col min="15" max="16384" width="9.77734375" style="1"/>
  </cols>
  <sheetData>
    <row r="1" spans="1:14" ht="15.75" thickBot="1" x14ac:dyDescent="0.3">
      <c r="A1" s="48" t="s">
        <v>148</v>
      </c>
      <c r="B1" s="49"/>
      <c r="C1" s="49"/>
      <c r="D1" s="49"/>
      <c r="E1" s="49"/>
      <c r="F1" s="49"/>
      <c r="G1" s="3"/>
      <c r="H1" s="3"/>
    </row>
    <row r="2" spans="1:14" ht="47.25" customHeight="1" thickBot="1" x14ac:dyDescent="0.3">
      <c r="A2" s="28"/>
      <c r="B2" s="39" t="s">
        <v>59</v>
      </c>
      <c r="C2" s="29" t="s">
        <v>2</v>
      </c>
      <c r="D2" s="30" t="s">
        <v>3</v>
      </c>
      <c r="E2" s="29" t="s">
        <v>4</v>
      </c>
      <c r="F2" s="31" t="s">
        <v>1</v>
      </c>
      <c r="G2" s="3"/>
      <c r="H2" s="3"/>
    </row>
    <row r="3" spans="1:14" x14ac:dyDescent="0.2">
      <c r="A3" s="32" t="s">
        <v>5</v>
      </c>
      <c r="B3" s="46">
        <v>14949.494949494951</v>
      </c>
      <c r="C3" s="46">
        <v>14949.494949494951</v>
      </c>
      <c r="D3" s="50">
        <v>97.874657462889999</v>
      </c>
      <c r="E3" s="46">
        <v>1463.1766974250222</v>
      </c>
      <c r="F3" s="33">
        <f>+E3/36.744</f>
        <v>39.820833263254471</v>
      </c>
      <c r="G3" s="16"/>
      <c r="H3" s="16"/>
      <c r="I3" s="46"/>
      <c r="J3" s="46"/>
      <c r="L3" s="46"/>
      <c r="M3" s="46"/>
    </row>
    <row r="4" spans="1:14" x14ac:dyDescent="0.2">
      <c r="A4" s="32" t="s">
        <v>6</v>
      </c>
      <c r="B4" s="46">
        <v>59393.939393939399</v>
      </c>
      <c r="C4" s="46">
        <v>59393.939393939399</v>
      </c>
      <c r="D4" s="50">
        <v>95.908178474498541</v>
      </c>
      <c r="E4" s="46">
        <v>5696.3645396974898</v>
      </c>
      <c r="F4" s="33">
        <f t="shared" ref="F4:F56" si="0">+E4/36.744</f>
        <v>155.02842749013416</v>
      </c>
      <c r="G4" s="16"/>
      <c r="H4" s="16"/>
      <c r="I4" s="46"/>
      <c r="J4" s="46"/>
      <c r="L4" s="50"/>
      <c r="M4" s="46"/>
    </row>
    <row r="5" spans="1:14" x14ac:dyDescent="0.2">
      <c r="A5" s="32" t="s">
        <v>7</v>
      </c>
      <c r="B5" s="46">
        <v>22323.232323232322</v>
      </c>
      <c r="C5" s="46">
        <v>22323.232323232322</v>
      </c>
      <c r="D5" s="50">
        <v>89.494698805490728</v>
      </c>
      <c r="E5" s="46">
        <v>1997.8109531326716</v>
      </c>
      <c r="F5" s="33">
        <f t="shared" si="0"/>
        <v>54.371079717305456</v>
      </c>
      <c r="G5" s="16"/>
      <c r="H5" s="16"/>
      <c r="I5" s="46"/>
      <c r="J5" s="46"/>
      <c r="L5" s="50"/>
      <c r="M5" s="46"/>
    </row>
    <row r="6" spans="1:14" x14ac:dyDescent="0.2">
      <c r="A6" s="32" t="s">
        <v>8</v>
      </c>
      <c r="B6" s="46">
        <v>50606.060606060601</v>
      </c>
      <c r="C6" s="46">
        <v>50606.060606060601</v>
      </c>
      <c r="D6" s="50">
        <v>88.833035928143715</v>
      </c>
      <c r="E6" s="46">
        <v>4495.49</v>
      </c>
      <c r="F6" s="33">
        <f t="shared" si="0"/>
        <v>122.34623339865011</v>
      </c>
      <c r="G6" s="16"/>
      <c r="H6" s="16"/>
      <c r="I6" s="46"/>
      <c r="J6" s="46"/>
      <c r="L6" s="50"/>
      <c r="M6" s="46"/>
    </row>
    <row r="7" spans="1:14" x14ac:dyDescent="0.2">
      <c r="A7" s="32" t="s">
        <v>9</v>
      </c>
      <c r="B7" s="46">
        <v>44848.484848484848</v>
      </c>
      <c r="C7" s="46">
        <v>44848.484848484855</v>
      </c>
      <c r="D7" s="50">
        <v>90.427029409447442</v>
      </c>
      <c r="E7" s="46">
        <v>4055.5152583630979</v>
      </c>
      <c r="F7" s="33">
        <f t="shared" si="0"/>
        <v>110.37217663735842</v>
      </c>
      <c r="G7" s="16"/>
      <c r="H7" s="16"/>
      <c r="I7" s="46"/>
      <c r="J7" s="46"/>
      <c r="L7" s="50"/>
      <c r="M7" s="46"/>
    </row>
    <row r="8" spans="1:14" x14ac:dyDescent="0.2">
      <c r="A8" s="32" t="s">
        <v>10</v>
      </c>
      <c r="B8" s="46">
        <v>19797.979797979799</v>
      </c>
      <c r="C8" s="46">
        <v>19797.979797979799</v>
      </c>
      <c r="D8" s="50">
        <v>89.922034843534149</v>
      </c>
      <c r="E8" s="46">
        <v>1780.2746292255247</v>
      </c>
      <c r="F8" s="33">
        <f t="shared" si="0"/>
        <v>48.450757381491528</v>
      </c>
      <c r="G8" s="16"/>
      <c r="H8" s="16"/>
      <c r="I8" s="46"/>
      <c r="J8" s="46"/>
      <c r="L8" s="50"/>
      <c r="M8" s="46"/>
    </row>
    <row r="9" spans="1:14" x14ac:dyDescent="0.2">
      <c r="A9" s="32" t="s">
        <v>11</v>
      </c>
      <c r="B9" s="46">
        <v>68080.808080808085</v>
      </c>
      <c r="C9" s="46">
        <v>68080.808080808085</v>
      </c>
      <c r="D9" s="50">
        <v>88.905890532966168</v>
      </c>
      <c r="E9" s="46">
        <v>6052.784870628202</v>
      </c>
      <c r="F9" s="33">
        <f t="shared" si="0"/>
        <v>164.72852358557049</v>
      </c>
      <c r="G9" s="16"/>
      <c r="H9" s="16"/>
      <c r="I9" s="46"/>
      <c r="J9" s="46"/>
      <c r="L9" s="50"/>
      <c r="M9" s="46"/>
    </row>
    <row r="10" spans="1:14" x14ac:dyDescent="0.2">
      <c r="A10" s="32" t="s">
        <v>12</v>
      </c>
      <c r="B10" s="46">
        <v>58181.818181818177</v>
      </c>
      <c r="C10" s="46">
        <v>58181.818181818177</v>
      </c>
      <c r="D10" s="50">
        <v>94.351119808082331</v>
      </c>
      <c r="E10" s="46">
        <v>5489.5196979247903</v>
      </c>
      <c r="F10" s="33">
        <f t="shared" si="0"/>
        <v>149.3990773439144</v>
      </c>
      <c r="G10" s="16"/>
      <c r="H10" s="16"/>
      <c r="I10" s="46"/>
      <c r="J10" s="46"/>
      <c r="L10" s="50"/>
      <c r="M10" s="46"/>
    </row>
    <row r="11" spans="1:14" x14ac:dyDescent="0.2">
      <c r="A11" s="32" t="s">
        <v>13</v>
      </c>
      <c r="B11" s="46">
        <v>14949.494949494951</v>
      </c>
      <c r="C11" s="46">
        <v>14949.494949494951</v>
      </c>
      <c r="D11" s="50">
        <v>84.63690723252455</v>
      </c>
      <c r="E11" s="46">
        <v>1265.2790172134985</v>
      </c>
      <c r="F11" s="33">
        <f t="shared" si="0"/>
        <v>34.434983050661295</v>
      </c>
      <c r="G11" s="16"/>
      <c r="H11" s="16"/>
      <c r="I11" s="46"/>
      <c r="J11" s="46"/>
      <c r="L11" s="50"/>
      <c r="M11" s="46"/>
    </row>
    <row r="12" spans="1:14" x14ac:dyDescent="0.2">
      <c r="A12" s="32" t="s">
        <v>14</v>
      </c>
      <c r="B12" s="46">
        <v>35151.515151515152</v>
      </c>
      <c r="C12" s="46">
        <v>35151.515151515152</v>
      </c>
      <c r="D12" s="50">
        <v>98.562868993181141</v>
      </c>
      <c r="E12" s="46">
        <v>3464.6341827906099</v>
      </c>
      <c r="F12" s="33">
        <f t="shared" si="0"/>
        <v>94.291154550147226</v>
      </c>
      <c r="G12" s="16"/>
      <c r="H12" s="16"/>
      <c r="I12" s="46"/>
      <c r="J12" s="46"/>
      <c r="L12" s="50"/>
      <c r="M12" s="46"/>
    </row>
    <row r="13" spans="1:14" s="17" customFormat="1" ht="15" x14ac:dyDescent="0.25">
      <c r="A13" s="34" t="s">
        <v>15</v>
      </c>
      <c r="B13" s="47">
        <v>388282.82828282827</v>
      </c>
      <c r="C13" s="47">
        <v>388282.82828282827</v>
      </c>
      <c r="D13" s="51">
        <v>92.10000350659962</v>
      </c>
      <c r="E13" s="47">
        <v>35760.849846400903</v>
      </c>
      <c r="F13" s="37">
        <f t="shared" si="0"/>
        <v>973.2432464184875</v>
      </c>
      <c r="G13" s="16"/>
      <c r="H13" s="16"/>
      <c r="I13" s="47"/>
      <c r="J13" s="47"/>
      <c r="L13" s="51"/>
      <c r="M13" s="46"/>
      <c r="N13" s="1"/>
    </row>
    <row r="14" spans="1:14" x14ac:dyDescent="0.2">
      <c r="A14" s="32" t="s">
        <v>16</v>
      </c>
      <c r="B14" s="46">
        <v>38181.818181818184</v>
      </c>
      <c r="C14" s="46">
        <v>38181.818181818184</v>
      </c>
      <c r="D14" s="50">
        <v>86.480838848669833</v>
      </c>
      <c r="E14" s="46">
        <v>3301.9956651310304</v>
      </c>
      <c r="F14" s="33">
        <f t="shared" si="0"/>
        <v>89.864893999864748</v>
      </c>
      <c r="G14" s="16"/>
      <c r="H14" s="16"/>
      <c r="I14" s="46"/>
      <c r="J14" s="46"/>
      <c r="L14" s="50"/>
      <c r="M14" s="46"/>
    </row>
    <row r="15" spans="1:14" x14ac:dyDescent="0.2">
      <c r="A15" s="32" t="s">
        <v>17</v>
      </c>
      <c r="B15" s="46">
        <v>4444.4444444444443</v>
      </c>
      <c r="C15" s="46">
        <v>4444.4444444444443</v>
      </c>
      <c r="D15" s="50">
        <v>57.848488747382767</v>
      </c>
      <c r="E15" s="46">
        <v>257.10439443281228</v>
      </c>
      <c r="F15" s="33">
        <f t="shared" si="0"/>
        <v>6.9971803405402868</v>
      </c>
      <c r="G15" s="16"/>
      <c r="H15" s="16"/>
      <c r="I15" s="46"/>
      <c r="J15" s="46"/>
      <c r="L15" s="50"/>
      <c r="M15" s="46"/>
    </row>
    <row r="16" spans="1:14" x14ac:dyDescent="0.2">
      <c r="A16" s="32" t="s">
        <v>18</v>
      </c>
      <c r="B16" s="46">
        <v>19090.909090909092</v>
      </c>
      <c r="C16" s="46">
        <v>19090.909090909092</v>
      </c>
      <c r="D16" s="50">
        <v>83.565392594774622</v>
      </c>
      <c r="E16" s="46">
        <v>1595.3393131729702</v>
      </c>
      <c r="F16" s="33">
        <f t="shared" si="0"/>
        <v>43.417682156895552</v>
      </c>
      <c r="G16" s="16"/>
      <c r="H16" s="16"/>
      <c r="I16" s="46"/>
      <c r="J16" s="46"/>
      <c r="L16" s="50"/>
      <c r="M16" s="46"/>
    </row>
    <row r="17" spans="1:14" x14ac:dyDescent="0.2">
      <c r="A17" s="32" t="s">
        <v>19</v>
      </c>
      <c r="B17" s="46">
        <v>16363.636363636366</v>
      </c>
      <c r="C17" s="46">
        <v>16363.636363636366</v>
      </c>
      <c r="D17" s="50">
        <v>83.517440358831664</v>
      </c>
      <c r="E17" s="46">
        <v>1366.6490240536093</v>
      </c>
      <c r="F17" s="33">
        <f t="shared" si="0"/>
        <v>37.193801002983051</v>
      </c>
      <c r="G17" s="16"/>
      <c r="H17" s="16"/>
      <c r="I17" s="46"/>
      <c r="J17" s="46"/>
      <c r="L17" s="50"/>
      <c r="M17" s="46"/>
    </row>
    <row r="18" spans="1:14" x14ac:dyDescent="0.2">
      <c r="A18" s="32" t="s">
        <v>20</v>
      </c>
      <c r="B18" s="46">
        <v>124646.46464646465</v>
      </c>
      <c r="C18" s="46">
        <v>124646.46464646465</v>
      </c>
      <c r="D18" s="50">
        <v>86.812426017254083</v>
      </c>
      <c r="E18" s="46">
        <v>10820.86199043349</v>
      </c>
      <c r="F18" s="33">
        <f t="shared" si="0"/>
        <v>294.49330476903685</v>
      </c>
      <c r="G18" s="16"/>
      <c r="H18" s="16"/>
      <c r="I18" s="46"/>
      <c r="J18" s="46"/>
      <c r="L18" s="50"/>
      <c r="M18" s="46"/>
    </row>
    <row r="19" spans="1:14" x14ac:dyDescent="0.2">
      <c r="A19" s="32" t="s">
        <v>21</v>
      </c>
      <c r="B19" s="46">
        <v>11313.131313131313</v>
      </c>
      <c r="C19" s="46">
        <v>11313.131313131315</v>
      </c>
      <c r="D19" s="50">
        <v>93.840003899967442</v>
      </c>
      <c r="E19" s="46">
        <v>1061.6242865450863</v>
      </c>
      <c r="F19" s="33">
        <f t="shared" si="0"/>
        <v>28.892452823456519</v>
      </c>
      <c r="G19" s="16"/>
      <c r="H19" s="16"/>
      <c r="I19" s="46"/>
      <c r="J19" s="46"/>
      <c r="L19" s="50"/>
      <c r="M19" s="46"/>
    </row>
    <row r="20" spans="1:14" x14ac:dyDescent="0.2">
      <c r="A20" s="32" t="s">
        <v>22</v>
      </c>
      <c r="B20" s="46">
        <v>87070.707070707067</v>
      </c>
      <c r="C20" s="46">
        <v>87070.707070707067</v>
      </c>
      <c r="D20" s="50">
        <v>92.228556193365804</v>
      </c>
      <c r="E20" s="46">
        <v>8030.4055998668</v>
      </c>
      <c r="F20" s="33">
        <f t="shared" si="0"/>
        <v>218.55011974381668</v>
      </c>
      <c r="G20" s="16"/>
      <c r="H20" s="16"/>
      <c r="I20" s="46"/>
      <c r="J20" s="46"/>
      <c r="L20" s="50"/>
      <c r="M20" s="46"/>
    </row>
    <row r="21" spans="1:14" x14ac:dyDescent="0.2">
      <c r="A21" s="32" t="s">
        <v>23</v>
      </c>
      <c r="B21" s="46">
        <v>48383.838383838382</v>
      </c>
      <c r="C21" s="46">
        <v>48383.838383838382</v>
      </c>
      <c r="D21" s="50">
        <v>82.790397278882281</v>
      </c>
      <c r="E21" s="46">
        <v>4005.7172016752133</v>
      </c>
      <c r="F21" s="33">
        <f t="shared" si="0"/>
        <v>109.01690620714166</v>
      </c>
      <c r="G21" s="16"/>
      <c r="H21" s="16"/>
      <c r="I21" s="46"/>
      <c r="J21" s="46"/>
      <c r="L21" s="50"/>
      <c r="M21" s="46"/>
    </row>
    <row r="22" spans="1:14" x14ac:dyDescent="0.2">
      <c r="A22" s="32" t="s">
        <v>24</v>
      </c>
      <c r="B22" s="46">
        <v>14343.434343434343</v>
      </c>
      <c r="C22" s="46">
        <v>14343.434343434343</v>
      </c>
      <c r="D22" s="50">
        <v>97.32811123682535</v>
      </c>
      <c r="E22" s="46">
        <v>1396.0193732958787</v>
      </c>
      <c r="F22" s="33">
        <f t="shared" si="0"/>
        <v>37.993124681468501</v>
      </c>
      <c r="G22" s="16"/>
      <c r="H22" s="16"/>
      <c r="I22" s="46"/>
      <c r="J22" s="46"/>
      <c r="L22" s="50"/>
      <c r="M22" s="46"/>
    </row>
    <row r="23" spans="1:14" x14ac:dyDescent="0.2">
      <c r="A23" s="32" t="s">
        <v>25</v>
      </c>
      <c r="B23" s="46">
        <v>51818.181818181816</v>
      </c>
      <c r="C23" s="46">
        <v>51818.181818181816</v>
      </c>
      <c r="D23" s="50">
        <v>91.459599070277122</v>
      </c>
      <c r="E23" s="46">
        <v>4739.2701336416321</v>
      </c>
      <c r="F23" s="33">
        <f t="shared" si="0"/>
        <v>128.980789615764</v>
      </c>
      <c r="G23" s="16"/>
      <c r="H23" s="16"/>
      <c r="I23" s="46"/>
      <c r="J23" s="46"/>
      <c r="L23" s="50"/>
      <c r="M23" s="46"/>
    </row>
    <row r="24" spans="1:14" s="17" customFormat="1" ht="15" x14ac:dyDescent="0.25">
      <c r="A24" s="34" t="s">
        <v>26</v>
      </c>
      <c r="B24" s="47">
        <v>415656.56565656565</v>
      </c>
      <c r="C24" s="47">
        <v>415656.56565656565</v>
      </c>
      <c r="D24" s="51">
        <v>87.993285813915037</v>
      </c>
      <c r="E24" s="47">
        <v>36574.98698224852</v>
      </c>
      <c r="F24" s="37">
        <f t="shared" si="0"/>
        <v>995.40025534096776</v>
      </c>
      <c r="G24" s="16"/>
      <c r="H24" s="16"/>
      <c r="I24" s="47"/>
      <c r="J24" s="47"/>
      <c r="L24" s="51"/>
      <c r="M24" s="46"/>
      <c r="N24" s="1"/>
    </row>
    <row r="25" spans="1:14" x14ac:dyDescent="0.2">
      <c r="A25" s="32" t="s">
        <v>27</v>
      </c>
      <c r="B25" s="46">
        <v>15555.555555555555</v>
      </c>
      <c r="C25" s="46">
        <v>15555.555555555555</v>
      </c>
      <c r="D25" s="50">
        <v>80.357142857142861</v>
      </c>
      <c r="E25" s="46">
        <v>1250</v>
      </c>
      <c r="F25" s="33">
        <f t="shared" si="0"/>
        <v>34.019159590681475</v>
      </c>
      <c r="G25" s="16"/>
      <c r="H25" s="16"/>
      <c r="I25" s="46"/>
      <c r="J25" s="46"/>
      <c r="L25" s="50"/>
      <c r="M25" s="46"/>
    </row>
    <row r="26" spans="1:14" x14ac:dyDescent="0.2">
      <c r="A26" s="32" t="s">
        <v>28</v>
      </c>
      <c r="B26" s="46">
        <v>0</v>
      </c>
      <c r="C26" s="46">
        <v>0</v>
      </c>
      <c r="D26" s="46">
        <v>0</v>
      </c>
      <c r="E26" s="46">
        <v>0</v>
      </c>
      <c r="F26" s="33">
        <f t="shared" si="0"/>
        <v>0</v>
      </c>
      <c r="G26" s="16"/>
      <c r="H26" s="16"/>
      <c r="I26" s="46"/>
      <c r="J26" s="46"/>
      <c r="L26" s="50"/>
      <c r="M26" s="46"/>
    </row>
    <row r="27" spans="1:14" x14ac:dyDescent="0.2">
      <c r="A27" s="32" t="s">
        <v>29</v>
      </c>
      <c r="B27" s="46">
        <v>3131.3131313131312</v>
      </c>
      <c r="C27" s="46">
        <v>3131.3131313131312</v>
      </c>
      <c r="D27" s="50">
        <v>75.806919061266555</v>
      </c>
      <c r="E27" s="46">
        <v>237.37520110093567</v>
      </c>
      <c r="F27" s="33">
        <f t="shared" si="0"/>
        <v>6.4602438792982708</v>
      </c>
      <c r="G27" s="16"/>
      <c r="H27" s="16"/>
      <c r="I27" s="46"/>
      <c r="J27" s="46"/>
      <c r="L27" s="50"/>
      <c r="M27" s="46"/>
    </row>
    <row r="28" spans="1:14" x14ac:dyDescent="0.2">
      <c r="A28" s="32" t="s">
        <v>30</v>
      </c>
      <c r="B28" s="46">
        <v>7474.7474747474753</v>
      </c>
      <c r="C28" s="46">
        <v>7474.7474747474753</v>
      </c>
      <c r="D28" s="50">
        <v>62.194663384931786</v>
      </c>
      <c r="E28" s="46">
        <v>464.88940307928812</v>
      </c>
      <c r="F28" s="33">
        <f t="shared" si="0"/>
        <v>12.652117436296759</v>
      </c>
      <c r="G28" s="16"/>
      <c r="H28" s="16"/>
      <c r="I28" s="46"/>
      <c r="J28" s="46"/>
      <c r="L28" s="50"/>
      <c r="M28" s="46"/>
    </row>
    <row r="29" spans="1:14" x14ac:dyDescent="0.2">
      <c r="A29" s="32" t="s">
        <v>31</v>
      </c>
      <c r="B29" s="46">
        <v>0</v>
      </c>
      <c r="C29" s="46">
        <v>0</v>
      </c>
      <c r="D29" s="46">
        <v>0</v>
      </c>
      <c r="E29" s="46">
        <v>0</v>
      </c>
      <c r="F29" s="33">
        <f t="shared" si="0"/>
        <v>0</v>
      </c>
      <c r="G29" s="16"/>
      <c r="H29" s="16"/>
      <c r="I29" s="46"/>
      <c r="J29" s="46"/>
      <c r="L29" s="50"/>
      <c r="M29" s="46"/>
    </row>
    <row r="30" spans="1:14" x14ac:dyDescent="0.2">
      <c r="A30" s="32" t="s">
        <v>32</v>
      </c>
      <c r="B30" s="46">
        <v>10303.030303030304</v>
      </c>
      <c r="C30" s="46">
        <v>10303.030303030304</v>
      </c>
      <c r="D30" s="50">
        <v>71.844462561636689</v>
      </c>
      <c r="E30" s="46">
        <v>740.21567487746893</v>
      </c>
      <c r="F30" s="33">
        <f t="shared" si="0"/>
        <v>20.145212140144483</v>
      </c>
      <c r="G30" s="16"/>
      <c r="H30" s="16"/>
      <c r="I30" s="46"/>
      <c r="J30" s="46"/>
      <c r="L30" s="50"/>
      <c r="M30" s="46"/>
    </row>
    <row r="31" spans="1:14" x14ac:dyDescent="0.2">
      <c r="A31" s="32" t="s">
        <v>33</v>
      </c>
      <c r="B31" s="46">
        <v>0</v>
      </c>
      <c r="C31" s="46">
        <v>0</v>
      </c>
      <c r="D31" s="50">
        <v>0</v>
      </c>
      <c r="E31" s="46">
        <v>0</v>
      </c>
      <c r="F31" s="33">
        <f t="shared" si="0"/>
        <v>0</v>
      </c>
      <c r="G31" s="16"/>
      <c r="H31" s="16"/>
      <c r="I31" s="46"/>
      <c r="J31" s="46"/>
      <c r="L31" s="50"/>
      <c r="M31" s="46"/>
    </row>
    <row r="32" spans="1:14" x14ac:dyDescent="0.2">
      <c r="A32" s="32" t="s">
        <v>34</v>
      </c>
      <c r="B32" s="46">
        <v>6464.6464646464647</v>
      </c>
      <c r="C32" s="46">
        <v>6464.6464646464647</v>
      </c>
      <c r="D32" s="50">
        <v>65.162877014405709</v>
      </c>
      <c r="E32" s="46">
        <v>421.25496251737025</v>
      </c>
      <c r="F32" s="33">
        <f t="shared" si="0"/>
        <v>11.464591838595968</v>
      </c>
      <c r="G32" s="16"/>
      <c r="H32" s="16"/>
      <c r="I32" s="46"/>
      <c r="J32" s="46"/>
      <c r="L32" s="50"/>
      <c r="M32" s="46"/>
    </row>
    <row r="33" spans="1:14" x14ac:dyDescent="0.2">
      <c r="A33" s="32" t="s">
        <v>35</v>
      </c>
      <c r="B33" s="46">
        <v>8686.8686868686873</v>
      </c>
      <c r="C33" s="46">
        <v>8686.8686868686873</v>
      </c>
      <c r="D33" s="50">
        <v>72.065054634272002</v>
      </c>
      <c r="E33" s="46">
        <v>626.0196665199386</v>
      </c>
      <c r="F33" s="33">
        <f t="shared" si="0"/>
        <v>17.037330353797589</v>
      </c>
      <c r="G33" s="16"/>
      <c r="H33" s="16"/>
      <c r="I33" s="46"/>
      <c r="J33" s="46"/>
      <c r="L33" s="50"/>
      <c r="M33" s="46"/>
    </row>
    <row r="34" spans="1:14" x14ac:dyDescent="0.2">
      <c r="A34" s="32" t="s">
        <v>36</v>
      </c>
      <c r="B34" s="46">
        <v>8888.8888888888887</v>
      </c>
      <c r="C34" s="46">
        <v>8888.8888888888887</v>
      </c>
      <c r="D34" s="50">
        <v>75.55053494429427</v>
      </c>
      <c r="E34" s="46">
        <v>671.56031061594911</v>
      </c>
      <c r="F34" s="33">
        <f t="shared" si="0"/>
        <v>18.276733905289273</v>
      </c>
      <c r="G34" s="16"/>
      <c r="H34" s="16"/>
      <c r="I34" s="46"/>
      <c r="J34" s="46"/>
      <c r="L34" s="50"/>
      <c r="M34" s="46"/>
    </row>
    <row r="35" spans="1:14" s="17" customFormat="1" ht="15" x14ac:dyDescent="0.25">
      <c r="A35" s="34" t="s">
        <v>37</v>
      </c>
      <c r="B35" s="47">
        <v>60505.050505050509</v>
      </c>
      <c r="C35" s="47">
        <v>60505.050505050509</v>
      </c>
      <c r="D35" s="51">
        <v>72.908214800064115</v>
      </c>
      <c r="E35" s="47">
        <v>4411.3152187109508</v>
      </c>
      <c r="F35" s="37">
        <f t="shared" si="0"/>
        <v>120.05538914410383</v>
      </c>
      <c r="G35" s="16"/>
      <c r="H35" s="16"/>
      <c r="I35" s="47"/>
      <c r="J35" s="47"/>
      <c r="L35" s="51"/>
      <c r="M35" s="46"/>
      <c r="N35" s="1"/>
    </row>
    <row r="36" spans="1:14" x14ac:dyDescent="0.2">
      <c r="A36" s="32" t="s">
        <v>38</v>
      </c>
      <c r="B36" s="46">
        <v>808.08080808080808</v>
      </c>
      <c r="C36" s="46">
        <v>808.08080808080808</v>
      </c>
      <c r="D36" s="50">
        <v>75.20579520279108</v>
      </c>
      <c r="E36" s="46">
        <v>60.772359759831176</v>
      </c>
      <c r="F36" s="33">
        <f t="shared" si="0"/>
        <v>1.6539396842976044</v>
      </c>
      <c r="G36" s="16"/>
      <c r="H36" s="16"/>
      <c r="I36" s="46"/>
      <c r="J36" s="46"/>
      <c r="L36" s="50"/>
      <c r="M36" s="46"/>
    </row>
    <row r="37" spans="1:14" x14ac:dyDescent="0.2">
      <c r="A37" s="32" t="s">
        <v>39</v>
      </c>
      <c r="B37" s="46">
        <v>303.03030303030306</v>
      </c>
      <c r="C37" s="46">
        <v>303.03030303030306</v>
      </c>
      <c r="D37" s="50">
        <v>52.340257269443804</v>
      </c>
      <c r="E37" s="46">
        <v>15.860684021043578</v>
      </c>
      <c r="F37" s="33">
        <f t="shared" si="0"/>
        <v>0.43165371274340242</v>
      </c>
      <c r="G37" s="16"/>
      <c r="H37" s="16"/>
      <c r="I37" s="46"/>
      <c r="J37" s="46"/>
      <c r="L37" s="50"/>
      <c r="M37" s="46"/>
    </row>
    <row r="38" spans="1:14" x14ac:dyDescent="0.2">
      <c r="A38" s="32" t="s">
        <v>40</v>
      </c>
      <c r="B38" s="46">
        <v>808.08080808080808</v>
      </c>
      <c r="C38" s="46">
        <v>808.08080808080808</v>
      </c>
      <c r="D38" s="50">
        <v>49.288933695530588</v>
      </c>
      <c r="E38" s="46">
        <v>39.829441370125728</v>
      </c>
      <c r="F38" s="33">
        <f t="shared" si="0"/>
        <v>1.0839712979023985</v>
      </c>
      <c r="G38" s="16"/>
      <c r="H38" s="16"/>
      <c r="I38" s="46"/>
      <c r="J38" s="46"/>
      <c r="L38" s="50"/>
      <c r="M38" s="46"/>
    </row>
    <row r="39" spans="1:14" x14ac:dyDescent="0.2">
      <c r="A39" s="32" t="s">
        <v>41</v>
      </c>
      <c r="B39" s="46">
        <v>3333.3333333333335</v>
      </c>
      <c r="C39" s="46">
        <v>3333.3333333333335</v>
      </c>
      <c r="D39" s="50">
        <v>42.377021511457265</v>
      </c>
      <c r="E39" s="46">
        <v>141.25673837152422</v>
      </c>
      <c r="F39" s="33">
        <f t="shared" si="0"/>
        <v>3.8443484207360172</v>
      </c>
      <c r="G39" s="16"/>
      <c r="H39" s="16"/>
      <c r="I39" s="46"/>
      <c r="J39" s="46"/>
      <c r="L39" s="50"/>
      <c r="M39" s="46"/>
    </row>
    <row r="40" spans="1:14" x14ac:dyDescent="0.2">
      <c r="A40" s="32" t="s">
        <v>42</v>
      </c>
      <c r="B40" s="46">
        <v>17575.757575757576</v>
      </c>
      <c r="C40" s="46">
        <v>17575.757575757576</v>
      </c>
      <c r="D40" s="50">
        <v>56.93976547830929</v>
      </c>
      <c r="E40" s="46">
        <v>1000.7595144672541</v>
      </c>
      <c r="F40" s="33">
        <f t="shared" si="0"/>
        <v>27.235998107643535</v>
      </c>
      <c r="G40" s="16"/>
      <c r="H40" s="16"/>
      <c r="I40" s="46"/>
      <c r="J40" s="46"/>
      <c r="L40" s="50"/>
      <c r="M40" s="46"/>
    </row>
    <row r="41" spans="1:14" x14ac:dyDescent="0.2">
      <c r="A41" s="32" t="s">
        <v>43</v>
      </c>
      <c r="B41" s="46">
        <v>4848.484848484849</v>
      </c>
      <c r="C41" s="46">
        <v>4848.484848484849</v>
      </c>
      <c r="D41" s="50">
        <v>63.019283875921232</v>
      </c>
      <c r="E41" s="46">
        <v>305.54804303476965</v>
      </c>
      <c r="F41" s="33">
        <f t="shared" si="0"/>
        <v>8.315590110896192</v>
      </c>
      <c r="G41" s="16"/>
      <c r="H41" s="16"/>
      <c r="I41" s="46"/>
      <c r="J41" s="46"/>
      <c r="L41" s="50"/>
      <c r="M41" s="46"/>
    </row>
    <row r="42" spans="1:14" x14ac:dyDescent="0.2">
      <c r="A42" s="32" t="s">
        <v>44</v>
      </c>
      <c r="B42" s="46">
        <v>808.08080808080808</v>
      </c>
      <c r="C42" s="46">
        <v>808.08080808080808</v>
      </c>
      <c r="D42" s="50">
        <v>52.517180717335521</v>
      </c>
      <c r="E42" s="46">
        <v>42.438125832190323</v>
      </c>
      <c r="F42" s="33">
        <f t="shared" si="0"/>
        <v>1.1549675003317637</v>
      </c>
      <c r="G42" s="16"/>
      <c r="H42" s="16"/>
      <c r="I42" s="46"/>
      <c r="J42" s="46"/>
      <c r="L42" s="50"/>
      <c r="M42" s="46"/>
    </row>
    <row r="43" spans="1:14" x14ac:dyDescent="0.2">
      <c r="A43" s="32" t="s">
        <v>45</v>
      </c>
      <c r="B43" s="46">
        <v>15555.555555555555</v>
      </c>
      <c r="C43" s="46">
        <v>15555.555555555555</v>
      </c>
      <c r="D43" s="50">
        <v>65.642344745177539</v>
      </c>
      <c r="E43" s="46">
        <v>1021.1031404805394</v>
      </c>
      <c r="F43" s="33">
        <f t="shared" si="0"/>
        <v>27.789656555642811</v>
      </c>
      <c r="G43" s="16"/>
      <c r="H43" s="16"/>
      <c r="I43" s="46"/>
      <c r="J43" s="46"/>
      <c r="L43" s="50"/>
      <c r="M43" s="46"/>
    </row>
    <row r="44" spans="1:14" s="17" customFormat="1" ht="15" x14ac:dyDescent="0.25">
      <c r="A44" s="34" t="s">
        <v>46</v>
      </c>
      <c r="B44" s="47">
        <v>44040.404040404042</v>
      </c>
      <c r="C44" s="47">
        <v>44040.404040404042</v>
      </c>
      <c r="D44" s="51">
        <v>59.662668964768471</v>
      </c>
      <c r="E44" s="47">
        <v>2627.5680473372781</v>
      </c>
      <c r="F44" s="37">
        <f t="shared" si="0"/>
        <v>71.510125390193721</v>
      </c>
      <c r="G44" s="16"/>
      <c r="H44" s="16"/>
      <c r="I44" s="47"/>
      <c r="J44" s="47"/>
      <c r="L44" s="51"/>
      <c r="M44" s="46"/>
      <c r="N44" s="1"/>
    </row>
    <row r="45" spans="1:14" x14ac:dyDescent="0.2">
      <c r="A45" s="32" t="s">
        <v>47</v>
      </c>
      <c r="B45" s="46" t="s">
        <v>63</v>
      </c>
      <c r="C45" s="46" t="s">
        <v>63</v>
      </c>
      <c r="D45" s="46" t="s">
        <v>63</v>
      </c>
      <c r="E45" s="46">
        <v>0</v>
      </c>
      <c r="F45" s="46">
        <f t="shared" si="0"/>
        <v>0</v>
      </c>
      <c r="G45" s="16"/>
      <c r="H45" s="16"/>
      <c r="I45" s="46"/>
      <c r="J45" s="46"/>
      <c r="L45" s="50"/>
      <c r="M45" s="46"/>
    </row>
    <row r="46" spans="1:14" x14ac:dyDescent="0.2">
      <c r="A46" s="32" t="s">
        <v>48</v>
      </c>
      <c r="B46" s="46" t="s">
        <v>63</v>
      </c>
      <c r="C46" s="46" t="s">
        <v>63</v>
      </c>
      <c r="D46" s="46" t="s">
        <v>63</v>
      </c>
      <c r="E46" s="46">
        <v>0</v>
      </c>
      <c r="F46" s="46">
        <f t="shared" si="0"/>
        <v>0</v>
      </c>
      <c r="G46" s="16"/>
      <c r="H46" s="16"/>
      <c r="I46" s="46"/>
      <c r="J46" s="46"/>
      <c r="L46" s="50"/>
      <c r="M46" s="46"/>
    </row>
    <row r="47" spans="1:14" x14ac:dyDescent="0.2">
      <c r="A47" s="35" t="s">
        <v>49</v>
      </c>
      <c r="B47" s="46">
        <v>0</v>
      </c>
      <c r="C47" s="46">
        <v>0</v>
      </c>
      <c r="D47" s="46">
        <v>0</v>
      </c>
      <c r="E47" s="46">
        <v>0</v>
      </c>
      <c r="F47" s="46">
        <f t="shared" si="0"/>
        <v>0</v>
      </c>
      <c r="G47" s="16"/>
      <c r="H47" s="16"/>
      <c r="I47" s="46"/>
      <c r="J47" s="46"/>
      <c r="L47" s="50"/>
      <c r="M47" s="46"/>
    </row>
    <row r="48" spans="1:14" x14ac:dyDescent="0.2">
      <c r="A48" s="32" t="s">
        <v>50</v>
      </c>
      <c r="B48" s="46" t="s">
        <v>63</v>
      </c>
      <c r="C48" s="46" t="s">
        <v>63</v>
      </c>
      <c r="D48" s="46" t="s">
        <v>63</v>
      </c>
      <c r="E48" s="46">
        <v>0</v>
      </c>
      <c r="F48" s="46">
        <f t="shared" si="0"/>
        <v>0</v>
      </c>
      <c r="G48" s="16"/>
      <c r="H48" s="16"/>
      <c r="I48" s="46"/>
      <c r="J48" s="46"/>
      <c r="L48" s="50"/>
      <c r="M48" s="46"/>
    </row>
    <row r="49" spans="1:14" x14ac:dyDescent="0.2">
      <c r="A49" s="32" t="s">
        <v>51</v>
      </c>
      <c r="B49" s="46" t="s">
        <v>63</v>
      </c>
      <c r="C49" s="46" t="s">
        <v>63</v>
      </c>
      <c r="D49" s="46" t="s">
        <v>63</v>
      </c>
      <c r="E49" s="46">
        <v>0</v>
      </c>
      <c r="F49" s="46">
        <f t="shared" si="0"/>
        <v>0</v>
      </c>
      <c r="G49" s="16"/>
      <c r="H49" s="16"/>
      <c r="I49" s="46"/>
      <c r="J49" s="46"/>
      <c r="L49" s="50"/>
      <c r="M49" s="46"/>
    </row>
    <row r="50" spans="1:14" x14ac:dyDescent="0.2">
      <c r="A50" s="32" t="s">
        <v>52</v>
      </c>
      <c r="B50" s="46">
        <v>500</v>
      </c>
      <c r="C50" s="46">
        <v>500</v>
      </c>
      <c r="D50" s="46">
        <v>64.632258064516122</v>
      </c>
      <c r="E50" s="46">
        <v>32.316129032258061</v>
      </c>
      <c r="F50" s="46">
        <f t="shared" si="0"/>
        <v>0.87949404072115345</v>
      </c>
      <c r="G50" s="16"/>
      <c r="H50" s="16"/>
      <c r="I50" s="46"/>
      <c r="J50" s="46"/>
      <c r="L50" s="50"/>
      <c r="M50" s="46"/>
    </row>
    <row r="51" spans="1:14" x14ac:dyDescent="0.2">
      <c r="A51" s="32" t="s">
        <v>53</v>
      </c>
      <c r="B51" s="46" t="s">
        <v>63</v>
      </c>
      <c r="C51" s="46" t="s">
        <v>63</v>
      </c>
      <c r="D51" s="46" t="s">
        <v>63</v>
      </c>
      <c r="E51" s="46">
        <v>0</v>
      </c>
      <c r="F51" s="46">
        <f t="shared" si="0"/>
        <v>0</v>
      </c>
      <c r="G51" s="16"/>
      <c r="H51" s="16"/>
      <c r="I51" s="46"/>
      <c r="J51" s="46"/>
      <c r="L51" s="50"/>
      <c r="M51" s="46"/>
    </row>
    <row r="52" spans="1:14" x14ac:dyDescent="0.2">
      <c r="A52" s="32" t="s">
        <v>54</v>
      </c>
      <c r="B52" s="46" t="s">
        <v>63</v>
      </c>
      <c r="C52" s="46" t="s">
        <v>63</v>
      </c>
      <c r="D52" s="46" t="s">
        <v>63</v>
      </c>
      <c r="E52" s="46">
        <v>0</v>
      </c>
      <c r="F52" s="46">
        <f t="shared" si="0"/>
        <v>0</v>
      </c>
      <c r="G52" s="16"/>
      <c r="H52" s="16"/>
      <c r="I52" s="46"/>
      <c r="J52" s="46"/>
      <c r="L52" s="50"/>
      <c r="M52" s="46"/>
    </row>
    <row r="53" spans="1:14" x14ac:dyDescent="0.2">
      <c r="A53" s="32" t="s">
        <v>55</v>
      </c>
      <c r="B53" s="46" t="s">
        <v>63</v>
      </c>
      <c r="C53" s="46" t="s">
        <v>63</v>
      </c>
      <c r="D53" s="46" t="s">
        <v>63</v>
      </c>
      <c r="E53" s="46">
        <v>0</v>
      </c>
      <c r="F53" s="46">
        <f t="shared" si="0"/>
        <v>0</v>
      </c>
      <c r="G53" s="16"/>
      <c r="H53" s="16"/>
      <c r="I53" s="46"/>
      <c r="J53" s="46"/>
      <c r="L53" s="50"/>
      <c r="M53" s="46"/>
    </row>
    <row r="54" spans="1:14" x14ac:dyDescent="0.2">
      <c r="A54" s="32" t="s">
        <v>56</v>
      </c>
      <c r="B54" s="46">
        <v>2000</v>
      </c>
      <c r="C54" s="46">
        <v>2000</v>
      </c>
      <c r="D54" s="46">
        <v>80</v>
      </c>
      <c r="E54" s="46">
        <v>160</v>
      </c>
      <c r="F54" s="46">
        <f t="shared" si="0"/>
        <v>4.3544524276072281</v>
      </c>
      <c r="G54" s="16"/>
      <c r="H54" s="16"/>
      <c r="I54" s="46"/>
      <c r="J54" s="46"/>
      <c r="L54" s="50"/>
      <c r="M54" s="46"/>
    </row>
    <row r="55" spans="1:14" s="17" customFormat="1" ht="15" x14ac:dyDescent="0.25">
      <c r="A55" s="34" t="s">
        <v>57</v>
      </c>
      <c r="B55" s="47">
        <v>11515.151515151514</v>
      </c>
      <c r="C55" s="47">
        <v>11515.15</v>
      </c>
      <c r="D55" s="51">
        <v>80.353348382242288</v>
      </c>
      <c r="E55" s="47">
        <v>925.28085962377725</v>
      </c>
      <c r="F55" s="37">
        <f t="shared" si="0"/>
        <v>25.181821783795375</v>
      </c>
      <c r="G55" s="16"/>
      <c r="H55" s="16"/>
      <c r="I55" s="47"/>
      <c r="J55" s="47"/>
      <c r="L55" s="51"/>
      <c r="M55" s="46"/>
      <c r="N55" s="1"/>
    </row>
    <row r="56" spans="1:14" s="17" customFormat="1" ht="15.75" thickBot="1" x14ac:dyDescent="0.3">
      <c r="A56" s="36" t="s">
        <v>0</v>
      </c>
      <c r="B56" s="47">
        <v>920000</v>
      </c>
      <c r="C56" s="47">
        <v>919999.99848484853</v>
      </c>
      <c r="D56" s="51">
        <f>+E56/C56*1000</f>
        <v>87.282609876704143</v>
      </c>
      <c r="E56" s="47">
        <v>80300.000954321426</v>
      </c>
      <c r="F56" s="37">
        <f t="shared" si="0"/>
        <v>2185.3908380775479</v>
      </c>
      <c r="G56" s="16"/>
      <c r="H56" s="16"/>
      <c r="I56" s="47"/>
      <c r="J56" s="47"/>
      <c r="L56" s="51"/>
      <c r="M56" s="46"/>
      <c r="N56" s="1"/>
    </row>
    <row r="57" spans="1:14" s="22" customFormat="1" x14ac:dyDescent="0.2">
      <c r="A57" s="20"/>
      <c r="B57" s="15"/>
      <c r="C57" s="15"/>
      <c r="D57" s="20"/>
      <c r="E57" s="15"/>
      <c r="F57" s="15"/>
      <c r="G57" s="20"/>
      <c r="H57" s="20"/>
      <c r="M57" s="40"/>
      <c r="N57" s="1"/>
    </row>
    <row r="58" spans="1:14" ht="190.5" customHeight="1" x14ac:dyDescent="0.2">
      <c r="A58" s="105" t="s">
        <v>58</v>
      </c>
      <c r="B58" s="105"/>
      <c r="C58" s="105"/>
      <c r="D58" s="105"/>
      <c r="E58" s="105"/>
      <c r="F58" s="105"/>
      <c r="G58" s="3"/>
      <c r="H58" s="3"/>
    </row>
    <row r="59" spans="1:14" ht="15" x14ac:dyDescent="0.2">
      <c r="A59"/>
      <c r="B59" s="6"/>
      <c r="C59" s="6"/>
      <c r="D59" s="8"/>
      <c r="E59" s="12"/>
      <c r="F59" s="14"/>
      <c r="G59" s="3"/>
      <c r="H59" s="3"/>
    </row>
    <row r="60" spans="1:14" ht="15" x14ac:dyDescent="0.25">
      <c r="A60" s="17" t="s">
        <v>60</v>
      </c>
      <c r="B60" s="6"/>
      <c r="C60" s="6"/>
      <c r="D60" s="8"/>
      <c r="E60" s="6"/>
      <c r="F60" s="7"/>
      <c r="G60" s="3"/>
      <c r="H60" s="3"/>
    </row>
    <row r="61" spans="1:14" x14ac:dyDescent="0.2">
      <c r="A61" s="41"/>
      <c r="B61" s="6"/>
      <c r="C61" s="6"/>
      <c r="D61" s="8"/>
      <c r="E61" s="6"/>
      <c r="F61" s="7"/>
      <c r="G61" s="3"/>
      <c r="H61" s="3"/>
    </row>
    <row r="62" spans="1:14" x14ac:dyDescent="0.2">
      <c r="A62" s="3"/>
      <c r="B62" s="6"/>
      <c r="C62" s="6"/>
      <c r="D62" s="8"/>
      <c r="E62" s="6"/>
      <c r="F62" s="7"/>
      <c r="G62" s="3"/>
      <c r="H62" s="3"/>
    </row>
    <row r="63" spans="1:14" x14ac:dyDescent="0.2">
      <c r="A63" s="3"/>
      <c r="B63" s="6"/>
      <c r="C63" s="6"/>
      <c r="D63" s="8"/>
      <c r="E63" s="6"/>
      <c r="F63" s="7"/>
      <c r="G63" s="3"/>
      <c r="H63" s="3"/>
    </row>
    <row r="64" spans="1:14" x14ac:dyDescent="0.2">
      <c r="A64" s="3"/>
      <c r="B64" s="6"/>
      <c r="C64" s="6"/>
      <c r="D64" s="8"/>
      <c r="E64" s="6"/>
      <c r="F64" s="7"/>
      <c r="G64" s="3"/>
      <c r="H64" s="3"/>
    </row>
    <row r="65" spans="1:8" x14ac:dyDescent="0.2">
      <c r="A65" s="3"/>
      <c r="B65" s="6"/>
      <c r="C65" s="6"/>
      <c r="D65" s="8"/>
      <c r="E65" s="6"/>
      <c r="F65" s="7"/>
      <c r="G65" s="3"/>
      <c r="H65" s="3"/>
    </row>
    <row r="66" spans="1:8" x14ac:dyDescent="0.2">
      <c r="A66" s="3"/>
      <c r="B66" s="6"/>
      <c r="C66" s="6"/>
      <c r="D66" s="8"/>
      <c r="E66" s="6"/>
      <c r="F66" s="7"/>
      <c r="G66" s="3"/>
      <c r="H66" s="3"/>
    </row>
    <row r="67" spans="1:8" x14ac:dyDescent="0.2">
      <c r="A67" s="3"/>
      <c r="B67" s="6"/>
      <c r="C67" s="6"/>
      <c r="D67" s="8"/>
      <c r="E67" s="6"/>
      <c r="F67" s="7"/>
      <c r="G67" s="3"/>
      <c r="H67" s="3"/>
    </row>
    <row r="68" spans="1:8" x14ac:dyDescent="0.2">
      <c r="A68" s="3"/>
      <c r="B68" s="6"/>
      <c r="C68" s="6"/>
      <c r="D68" s="8"/>
      <c r="E68" s="6"/>
      <c r="F68" s="7"/>
      <c r="G68" s="3"/>
      <c r="H68" s="3"/>
    </row>
    <row r="69" spans="1:8" x14ac:dyDescent="0.2">
      <c r="A69" s="3"/>
      <c r="B69" s="3"/>
      <c r="C69" s="3"/>
      <c r="D69" s="3"/>
      <c r="E69" s="6"/>
      <c r="F69" s="7"/>
      <c r="G69" s="3"/>
      <c r="H69" s="3"/>
    </row>
    <row r="70" spans="1:8" x14ac:dyDescent="0.2">
      <c r="A70" s="3"/>
      <c r="B70" s="3"/>
      <c r="C70" s="3"/>
      <c r="D70" s="3"/>
      <c r="E70" s="6"/>
      <c r="F70" s="7"/>
      <c r="G70" s="3"/>
      <c r="H70" s="3"/>
    </row>
    <row r="71" spans="1:8" x14ac:dyDescent="0.2">
      <c r="A71" s="3"/>
      <c r="B71" s="3"/>
      <c r="C71" s="3"/>
      <c r="D71" s="3"/>
      <c r="E71" s="6"/>
      <c r="F71" s="7"/>
      <c r="G71" s="3"/>
      <c r="H71" s="3"/>
    </row>
    <row r="72" spans="1:8" x14ac:dyDescent="0.2">
      <c r="A72" s="3"/>
      <c r="B72" s="3"/>
      <c r="C72" s="3"/>
      <c r="D72" s="3"/>
      <c r="E72" s="6"/>
      <c r="F72" s="7"/>
      <c r="G72" s="3"/>
      <c r="H72" s="3"/>
    </row>
    <row r="73" spans="1:8" x14ac:dyDescent="0.2">
      <c r="A73" s="3"/>
      <c r="B73" s="3"/>
      <c r="C73" s="3"/>
      <c r="D73" s="3"/>
      <c r="E73" s="3"/>
      <c r="F73" s="3"/>
      <c r="G73" s="3"/>
      <c r="H73" s="3"/>
    </row>
    <row r="74" spans="1:8" x14ac:dyDescent="0.2">
      <c r="A74" s="3"/>
      <c r="B74" s="3"/>
      <c r="C74" s="3"/>
      <c r="D74" s="3"/>
      <c r="E74" s="3"/>
      <c r="F74" s="3"/>
      <c r="G74" s="3"/>
      <c r="H74" s="3"/>
    </row>
    <row r="75" spans="1:8" x14ac:dyDescent="0.2">
      <c r="A75" s="3"/>
      <c r="B75" s="3"/>
      <c r="C75" s="3"/>
      <c r="D75" s="3"/>
      <c r="E75" s="3"/>
      <c r="F75" s="3"/>
      <c r="G75" s="3"/>
      <c r="H75" s="3"/>
    </row>
    <row r="76" spans="1:8" x14ac:dyDescent="0.2">
      <c r="A76" s="3"/>
      <c r="B76" s="3"/>
      <c r="C76" s="3"/>
      <c r="D76" s="3"/>
      <c r="E76" s="3"/>
      <c r="F76" s="3"/>
      <c r="G76" s="3"/>
      <c r="H76" s="3"/>
    </row>
    <row r="77" spans="1:8" x14ac:dyDescent="0.2">
      <c r="A77" s="3"/>
      <c r="B77" s="3"/>
      <c r="C77" s="3"/>
      <c r="D77" s="3"/>
      <c r="E77" s="3"/>
      <c r="F77" s="3"/>
      <c r="G77" s="3"/>
      <c r="H77" s="3"/>
    </row>
    <row r="78" spans="1:8" x14ac:dyDescent="0.2">
      <c r="A78" s="3"/>
      <c r="B78" s="3"/>
      <c r="C78" s="3"/>
      <c r="D78" s="3"/>
      <c r="E78" s="3"/>
      <c r="F78" s="3"/>
      <c r="G78" s="3"/>
      <c r="H78" s="3"/>
    </row>
    <row r="79" spans="1:8" x14ac:dyDescent="0.2">
      <c r="A79" s="3"/>
      <c r="E79" s="3"/>
      <c r="F79" s="3"/>
      <c r="G79" s="3"/>
      <c r="H79" s="3"/>
    </row>
    <row r="80" spans="1:8" x14ac:dyDescent="0.2">
      <c r="A80" s="3"/>
      <c r="E80" s="3"/>
      <c r="F80" s="3"/>
      <c r="G80" s="3"/>
      <c r="H80" s="3"/>
    </row>
    <row r="81" spans="1:8" x14ac:dyDescent="0.2">
      <c r="A81" s="3"/>
      <c r="E81" s="3"/>
      <c r="F81" s="3"/>
      <c r="G81" s="3"/>
      <c r="H81" s="3"/>
    </row>
    <row r="82" spans="1:8" x14ac:dyDescent="0.2">
      <c r="A82" s="3"/>
      <c r="E82" s="3"/>
      <c r="F82" s="3"/>
      <c r="G82" s="3"/>
      <c r="H82" s="3"/>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pageSetUpPr fitToPage="1"/>
  </sheetPr>
  <dimension ref="A1:L82"/>
  <sheetViews>
    <sheetView defaultGridColor="0" colorId="22" zoomScale="75" zoomScaleNormal="75" workbookViewId="0">
      <selection activeCell="A61" sqref="A61"/>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7" width="9.77734375" style="1"/>
    <col min="8" max="9" width="10.21875" style="1" bestFit="1" customWidth="1"/>
    <col min="10" max="10" width="9.88671875" style="1" bestFit="1" customWidth="1"/>
    <col min="11" max="11" width="12.44140625" style="1" bestFit="1" customWidth="1"/>
    <col min="12" max="16384" width="9.77734375" style="1"/>
  </cols>
  <sheetData>
    <row r="1" spans="1:12" ht="15.75" thickBot="1" x14ac:dyDescent="0.3">
      <c r="A1" s="48" t="s">
        <v>61</v>
      </c>
      <c r="B1" s="49"/>
      <c r="C1" s="49"/>
      <c r="D1" s="49"/>
      <c r="E1" s="49"/>
      <c r="F1" s="49"/>
      <c r="G1" s="3"/>
    </row>
    <row r="2" spans="1:12" ht="47.25" customHeight="1" thickBot="1" x14ac:dyDescent="0.3">
      <c r="A2" s="28"/>
      <c r="B2" s="39" t="s">
        <v>59</v>
      </c>
      <c r="C2" s="29" t="s">
        <v>2</v>
      </c>
      <c r="D2" s="30" t="s">
        <v>3</v>
      </c>
      <c r="E2" s="29" t="s">
        <v>4</v>
      </c>
      <c r="F2" s="31" t="s">
        <v>1</v>
      </c>
      <c r="G2" s="3"/>
    </row>
    <row r="3" spans="1:12" x14ac:dyDescent="0.2">
      <c r="A3" s="32" t="s">
        <v>5</v>
      </c>
      <c r="B3" s="46">
        <v>26300</v>
      </c>
      <c r="C3" s="44">
        <v>26300</v>
      </c>
      <c r="D3" s="42">
        <v>87.220532319391637</v>
      </c>
      <c r="E3" s="44">
        <v>2293.9</v>
      </c>
      <c r="F3" s="33">
        <f>+E3/36.744</f>
        <v>62.429240148051385</v>
      </c>
      <c r="G3" s="16"/>
      <c r="H3" s="46"/>
      <c r="I3" s="46"/>
      <c r="J3" s="46"/>
      <c r="K3" s="46"/>
      <c r="L3" s="50"/>
    </row>
    <row r="4" spans="1:12" x14ac:dyDescent="0.2">
      <c r="A4" s="32" t="s">
        <v>6</v>
      </c>
      <c r="B4" s="46">
        <v>83600</v>
      </c>
      <c r="C4" s="44">
        <v>83600</v>
      </c>
      <c r="D4" s="42">
        <v>109.35287081339713</v>
      </c>
      <c r="E4" s="44">
        <v>9141.9</v>
      </c>
      <c r="F4" s="33">
        <f t="shared" ref="F4:F56" si="0">+E4/36.744</f>
        <v>248.79980404964076</v>
      </c>
      <c r="G4" s="16"/>
      <c r="H4" s="46"/>
      <c r="I4" s="46"/>
      <c r="J4" s="46"/>
      <c r="K4" s="46"/>
      <c r="L4" s="50"/>
    </row>
    <row r="5" spans="1:12" x14ac:dyDescent="0.2">
      <c r="A5" s="32" t="s">
        <v>7</v>
      </c>
      <c r="B5" s="46">
        <v>22800</v>
      </c>
      <c r="C5" s="44">
        <v>22800</v>
      </c>
      <c r="D5" s="42">
        <v>96.526315789473685</v>
      </c>
      <c r="E5" s="44">
        <v>2200.8000000000002</v>
      </c>
      <c r="F5" s="33">
        <f t="shared" si="0"/>
        <v>59.895493141737433</v>
      </c>
      <c r="H5" s="46"/>
      <c r="I5" s="46"/>
      <c r="J5" s="46"/>
      <c r="K5" s="46"/>
      <c r="L5" s="50"/>
    </row>
    <row r="6" spans="1:12" x14ac:dyDescent="0.2">
      <c r="A6" s="32" t="s">
        <v>8</v>
      </c>
      <c r="B6" s="46">
        <v>52000</v>
      </c>
      <c r="C6" s="44">
        <v>52000</v>
      </c>
      <c r="D6" s="42">
        <v>85.224999999999994</v>
      </c>
      <c r="E6" s="44">
        <v>4431.7</v>
      </c>
      <c r="F6" s="33">
        <f t="shared" si="0"/>
        <v>120.61016764641846</v>
      </c>
      <c r="H6" s="46"/>
      <c r="I6" s="46"/>
      <c r="J6" s="46"/>
      <c r="K6" s="46"/>
      <c r="L6" s="50"/>
    </row>
    <row r="7" spans="1:12" x14ac:dyDescent="0.2">
      <c r="A7" s="32" t="s">
        <v>9</v>
      </c>
      <c r="B7" s="46">
        <v>34700</v>
      </c>
      <c r="C7" s="44">
        <v>34700</v>
      </c>
      <c r="D7" s="42">
        <v>94.596541786743515</v>
      </c>
      <c r="E7" s="44">
        <v>3282.5</v>
      </c>
      <c r="F7" s="33">
        <f t="shared" si="0"/>
        <v>89.334313085129551</v>
      </c>
      <c r="H7" s="46"/>
      <c r="I7" s="46"/>
      <c r="J7" s="46"/>
      <c r="K7" s="46"/>
      <c r="L7" s="50"/>
    </row>
    <row r="8" spans="1:12" x14ac:dyDescent="0.2">
      <c r="A8" s="32" t="s">
        <v>10</v>
      </c>
      <c r="B8" s="46">
        <v>9200</v>
      </c>
      <c r="C8" s="44">
        <v>9200</v>
      </c>
      <c r="D8" s="42">
        <v>91.065217391304344</v>
      </c>
      <c r="E8" s="44">
        <v>837.8</v>
      </c>
      <c r="F8" s="33">
        <f t="shared" si="0"/>
        <v>22.80100152405835</v>
      </c>
      <c r="H8" s="46"/>
      <c r="I8" s="46"/>
      <c r="J8" s="46"/>
      <c r="K8" s="46"/>
      <c r="L8" s="50"/>
    </row>
    <row r="9" spans="1:12" x14ac:dyDescent="0.2">
      <c r="A9" s="32" t="s">
        <v>11</v>
      </c>
      <c r="B9" s="46">
        <v>60900</v>
      </c>
      <c r="C9" s="44">
        <v>60900</v>
      </c>
      <c r="D9" s="42">
        <v>99.124794745484394</v>
      </c>
      <c r="E9" s="44">
        <v>6036.7</v>
      </c>
      <c r="F9" s="33">
        <f t="shared" si="0"/>
        <v>164.29076856085348</v>
      </c>
      <c r="H9" s="46"/>
      <c r="I9" s="46"/>
      <c r="J9" s="46"/>
      <c r="K9" s="46"/>
      <c r="L9" s="50"/>
    </row>
    <row r="10" spans="1:12" x14ac:dyDescent="0.2">
      <c r="A10" s="32" t="s">
        <v>12</v>
      </c>
      <c r="B10" s="46">
        <v>62400</v>
      </c>
      <c r="C10" s="44">
        <v>62400</v>
      </c>
      <c r="D10" s="42">
        <v>106.97115384615384</v>
      </c>
      <c r="E10" s="44">
        <v>6675</v>
      </c>
      <c r="F10" s="33">
        <f t="shared" si="0"/>
        <v>181.66231221423905</v>
      </c>
      <c r="H10" s="46"/>
      <c r="I10" s="46"/>
      <c r="J10" s="46"/>
      <c r="K10" s="46"/>
      <c r="L10" s="50"/>
    </row>
    <row r="11" spans="1:12" x14ac:dyDescent="0.2">
      <c r="A11" s="32" t="s">
        <v>13</v>
      </c>
      <c r="B11" s="46">
        <v>24500</v>
      </c>
      <c r="C11" s="44">
        <v>24500</v>
      </c>
      <c r="D11" s="42">
        <v>90.942857142857136</v>
      </c>
      <c r="E11" s="44">
        <v>2228.1</v>
      </c>
      <c r="F11" s="33">
        <f t="shared" si="0"/>
        <v>60.638471587197905</v>
      </c>
      <c r="H11" s="46"/>
      <c r="I11" s="46"/>
      <c r="J11" s="46"/>
      <c r="K11" s="46"/>
      <c r="L11" s="50"/>
    </row>
    <row r="12" spans="1:12" x14ac:dyDescent="0.2">
      <c r="A12" s="32" t="s">
        <v>14</v>
      </c>
      <c r="B12" s="46">
        <v>47600</v>
      </c>
      <c r="C12" s="44">
        <v>47600</v>
      </c>
      <c r="D12" s="42">
        <v>97.195378151260499</v>
      </c>
      <c r="E12" s="44">
        <v>4626.5</v>
      </c>
      <c r="F12" s="33">
        <f t="shared" si="0"/>
        <v>125.91171347703026</v>
      </c>
      <c r="H12" s="46"/>
      <c r="I12" s="46"/>
      <c r="J12" s="46"/>
      <c r="K12" s="46"/>
      <c r="L12" s="50"/>
    </row>
    <row r="13" spans="1:12" s="17" customFormat="1" ht="15" x14ac:dyDescent="0.25">
      <c r="A13" s="34" t="s">
        <v>15</v>
      </c>
      <c r="B13" s="47">
        <v>424000</v>
      </c>
      <c r="C13" s="45">
        <v>424000</v>
      </c>
      <c r="D13" s="43">
        <v>98.478537735849059</v>
      </c>
      <c r="E13" s="45">
        <v>41754.9</v>
      </c>
      <c r="F13" s="37">
        <f t="shared" si="0"/>
        <v>1136.3732854343566</v>
      </c>
      <c r="G13" s="23"/>
      <c r="H13" s="47"/>
      <c r="I13" s="47"/>
      <c r="J13" s="47"/>
      <c r="K13" s="47"/>
      <c r="L13" s="50"/>
    </row>
    <row r="14" spans="1:12" x14ac:dyDescent="0.2">
      <c r="A14" s="32" t="s">
        <v>16</v>
      </c>
      <c r="B14" s="46">
        <v>40600</v>
      </c>
      <c r="C14" s="44">
        <v>40600</v>
      </c>
      <c r="D14" s="42">
        <v>102.66995073891626</v>
      </c>
      <c r="E14" s="44">
        <v>4168.3999999999996</v>
      </c>
      <c r="F14" s="33">
        <f t="shared" si="0"/>
        <v>113.4443718702373</v>
      </c>
      <c r="H14" s="46"/>
      <c r="I14" s="46"/>
      <c r="J14" s="46"/>
      <c r="K14" s="46"/>
      <c r="L14" s="50"/>
    </row>
    <row r="15" spans="1:12" x14ac:dyDescent="0.2">
      <c r="A15" s="32" t="s">
        <v>17</v>
      </c>
      <c r="B15" s="46">
        <v>8600</v>
      </c>
      <c r="C15" s="44">
        <v>8600</v>
      </c>
      <c r="D15" s="42">
        <v>92.581395348837205</v>
      </c>
      <c r="E15" s="44">
        <v>796.2</v>
      </c>
      <c r="F15" s="33">
        <f t="shared" si="0"/>
        <v>21.668843892880471</v>
      </c>
      <c r="H15" s="46"/>
      <c r="I15" s="46"/>
      <c r="J15" s="46"/>
      <c r="K15" s="46"/>
      <c r="L15" s="50"/>
    </row>
    <row r="16" spans="1:12" x14ac:dyDescent="0.2">
      <c r="A16" s="32" t="s">
        <v>18</v>
      </c>
      <c r="B16" s="46">
        <v>21800</v>
      </c>
      <c r="C16" s="44">
        <v>21800</v>
      </c>
      <c r="D16" s="42">
        <v>80.940366972477065</v>
      </c>
      <c r="E16" s="44">
        <v>1764.5</v>
      </c>
      <c r="F16" s="33">
        <f t="shared" si="0"/>
        <v>48.021445678205964</v>
      </c>
      <c r="H16" s="46"/>
      <c r="I16" s="46"/>
      <c r="J16" s="46"/>
      <c r="K16" s="46"/>
      <c r="L16" s="50"/>
    </row>
    <row r="17" spans="1:12" x14ac:dyDescent="0.2">
      <c r="A17" s="32" t="s">
        <v>19</v>
      </c>
      <c r="B17" s="46">
        <v>5000</v>
      </c>
      <c r="C17" s="44">
        <v>5000</v>
      </c>
      <c r="D17" s="42">
        <v>68.02</v>
      </c>
      <c r="E17" s="44">
        <v>340.1</v>
      </c>
      <c r="F17" s="33">
        <f t="shared" si="0"/>
        <v>9.255932941432615</v>
      </c>
      <c r="H17" s="46"/>
      <c r="I17" s="46"/>
      <c r="J17" s="46"/>
      <c r="K17" s="46"/>
      <c r="L17" s="50"/>
    </row>
    <row r="18" spans="1:12" x14ac:dyDescent="0.2">
      <c r="A18" s="32" t="s">
        <v>20</v>
      </c>
      <c r="B18" s="46">
        <v>77600</v>
      </c>
      <c r="C18" s="44">
        <v>77600</v>
      </c>
      <c r="D18" s="42">
        <v>100.47938144329896</v>
      </c>
      <c r="E18" s="44">
        <v>7797.2</v>
      </c>
      <c r="F18" s="33">
        <f t="shared" si="0"/>
        <v>212.20335292836924</v>
      </c>
      <c r="H18" s="46"/>
      <c r="I18" s="46"/>
      <c r="J18" s="46"/>
      <c r="K18" s="46"/>
      <c r="L18" s="50"/>
    </row>
    <row r="19" spans="1:12" x14ac:dyDescent="0.2">
      <c r="A19" s="32" t="s">
        <v>21</v>
      </c>
      <c r="B19" s="46">
        <v>10300</v>
      </c>
      <c r="C19" s="44">
        <v>10300</v>
      </c>
      <c r="D19" s="42">
        <v>64.174757281553397</v>
      </c>
      <c r="E19" s="44">
        <v>661</v>
      </c>
      <c r="F19" s="33">
        <f t="shared" si="0"/>
        <v>17.989331591552361</v>
      </c>
      <c r="H19" s="46"/>
      <c r="I19" s="46"/>
      <c r="J19" s="46"/>
      <c r="K19" s="46"/>
      <c r="L19" s="50"/>
    </row>
    <row r="20" spans="1:12" x14ac:dyDescent="0.2">
      <c r="A20" s="32" t="s">
        <v>22</v>
      </c>
      <c r="B20" s="46">
        <v>84300</v>
      </c>
      <c r="C20" s="44">
        <v>84300</v>
      </c>
      <c r="D20" s="42">
        <v>99.82562277580071</v>
      </c>
      <c r="E20" s="44">
        <v>8415.2999999999993</v>
      </c>
      <c r="F20" s="33">
        <f t="shared" si="0"/>
        <v>229.02514696276941</v>
      </c>
      <c r="H20" s="46"/>
      <c r="I20" s="46"/>
      <c r="J20" s="46"/>
      <c r="K20" s="46"/>
      <c r="L20" s="50"/>
    </row>
    <row r="21" spans="1:12" x14ac:dyDescent="0.2">
      <c r="A21" s="32" t="s">
        <v>23</v>
      </c>
      <c r="B21" s="46">
        <v>78100</v>
      </c>
      <c r="C21" s="44">
        <v>78100</v>
      </c>
      <c r="D21" s="42">
        <v>93.569782330345717</v>
      </c>
      <c r="E21" s="44">
        <v>7307.8</v>
      </c>
      <c r="F21" s="33">
        <f t="shared" si="0"/>
        <v>198.88417156542565</v>
      </c>
      <c r="H21" s="46"/>
      <c r="I21" s="46"/>
      <c r="J21" s="46"/>
      <c r="K21" s="46"/>
      <c r="L21" s="50"/>
    </row>
    <row r="22" spans="1:12" x14ac:dyDescent="0.2">
      <c r="A22" s="32" t="s">
        <v>24</v>
      </c>
      <c r="B22" s="46">
        <v>22800</v>
      </c>
      <c r="C22" s="44">
        <v>22800</v>
      </c>
      <c r="D22" s="42">
        <v>88.464912280701753</v>
      </c>
      <c r="E22" s="44">
        <v>2017</v>
      </c>
      <c r="F22" s="33">
        <f t="shared" si="0"/>
        <v>54.893315915523623</v>
      </c>
      <c r="H22" s="46"/>
      <c r="I22" s="46"/>
      <c r="J22" s="46"/>
      <c r="K22" s="46"/>
      <c r="L22" s="50"/>
    </row>
    <row r="23" spans="1:12" x14ac:dyDescent="0.2">
      <c r="A23" s="32" t="s">
        <v>25</v>
      </c>
      <c r="B23" s="46">
        <v>50100</v>
      </c>
      <c r="C23" s="44">
        <v>50100</v>
      </c>
      <c r="D23" s="42">
        <v>79.357285429141712</v>
      </c>
      <c r="E23" s="44">
        <v>3975.8</v>
      </c>
      <c r="F23" s="33">
        <f t="shared" si="0"/>
        <v>108.20269976050513</v>
      </c>
      <c r="H23" s="46"/>
      <c r="I23" s="46"/>
      <c r="J23" s="46"/>
      <c r="K23" s="46"/>
      <c r="L23" s="50"/>
    </row>
    <row r="24" spans="1:12" s="17" customFormat="1" ht="15" x14ac:dyDescent="0.25">
      <c r="A24" s="34" t="s">
        <v>26</v>
      </c>
      <c r="B24" s="47">
        <v>399200</v>
      </c>
      <c r="C24" s="45">
        <v>399200</v>
      </c>
      <c r="D24" s="43">
        <v>93.294839679358716</v>
      </c>
      <c r="E24" s="45">
        <v>37243.300000000003</v>
      </c>
      <c r="F24" s="37">
        <f t="shared" si="0"/>
        <v>1013.5886131069019</v>
      </c>
      <c r="G24" s="23"/>
      <c r="H24" s="47"/>
      <c r="I24" s="47"/>
      <c r="J24" s="47"/>
      <c r="K24" s="47"/>
      <c r="L24" s="50"/>
    </row>
    <row r="25" spans="1:12" x14ac:dyDescent="0.2">
      <c r="A25" s="32" t="s">
        <v>27</v>
      </c>
      <c r="B25" s="46">
        <v>27300</v>
      </c>
      <c r="C25" s="44">
        <v>27300</v>
      </c>
      <c r="D25" s="42">
        <v>63.402930402930401</v>
      </c>
      <c r="E25" s="44">
        <v>1730.9</v>
      </c>
      <c r="F25" s="33">
        <f t="shared" si="0"/>
        <v>47.107010668408449</v>
      </c>
      <c r="H25" s="46"/>
      <c r="I25" s="46"/>
      <c r="J25" s="46"/>
      <c r="K25" s="46"/>
      <c r="L25" s="50"/>
    </row>
    <row r="26" spans="1:12" x14ac:dyDescent="0.2">
      <c r="A26" s="32" t="s">
        <v>28</v>
      </c>
      <c r="B26" s="46">
        <v>0</v>
      </c>
      <c r="C26" s="44">
        <v>0</v>
      </c>
      <c r="D26" s="42" t="s">
        <v>64</v>
      </c>
      <c r="E26" s="44">
        <v>0</v>
      </c>
      <c r="F26" s="44"/>
      <c r="G26" s="40"/>
      <c r="H26" s="46"/>
      <c r="I26" s="46"/>
      <c r="J26" s="46"/>
      <c r="K26" s="46"/>
      <c r="L26" s="50"/>
    </row>
    <row r="27" spans="1:12" x14ac:dyDescent="0.2">
      <c r="A27" s="32" t="s">
        <v>29</v>
      </c>
      <c r="B27" s="46">
        <v>3500</v>
      </c>
      <c r="C27" s="44">
        <v>3500</v>
      </c>
      <c r="D27" s="42">
        <v>66.857142857142861</v>
      </c>
      <c r="E27" s="44">
        <v>234</v>
      </c>
      <c r="F27" s="42">
        <f t="shared" si="0"/>
        <v>6.3683866753755716</v>
      </c>
      <c r="H27" s="46"/>
      <c r="I27" s="46"/>
      <c r="J27" s="46"/>
      <c r="K27" s="46"/>
      <c r="L27" s="50"/>
    </row>
    <row r="28" spans="1:12" x14ac:dyDescent="0.2">
      <c r="A28" s="32" t="s">
        <v>30</v>
      </c>
      <c r="B28" s="46">
        <v>13000</v>
      </c>
      <c r="C28" s="44">
        <v>13000</v>
      </c>
      <c r="D28" s="42">
        <v>69</v>
      </c>
      <c r="E28" s="44">
        <v>897</v>
      </c>
      <c r="F28" s="33">
        <f t="shared" si="0"/>
        <v>24.412148922273023</v>
      </c>
      <c r="H28" s="46"/>
      <c r="I28" s="46"/>
      <c r="J28" s="46"/>
      <c r="K28" s="46"/>
      <c r="L28" s="50"/>
    </row>
    <row r="29" spans="1:12" x14ac:dyDescent="0.2">
      <c r="A29" s="32" t="s">
        <v>31</v>
      </c>
      <c r="B29" s="46">
        <v>0</v>
      </c>
      <c r="C29" s="44">
        <v>0</v>
      </c>
      <c r="D29" s="42" t="s">
        <v>64</v>
      </c>
      <c r="E29" s="44">
        <v>0</v>
      </c>
      <c r="F29" s="44"/>
      <c r="G29" s="40"/>
      <c r="H29" s="46"/>
      <c r="I29" s="46"/>
      <c r="J29" s="46"/>
      <c r="K29" s="46"/>
      <c r="L29" s="50"/>
    </row>
    <row r="30" spans="1:12" x14ac:dyDescent="0.2">
      <c r="A30" s="32" t="s">
        <v>32</v>
      </c>
      <c r="B30" s="46">
        <v>8700</v>
      </c>
      <c r="C30" s="44">
        <v>8700</v>
      </c>
      <c r="D30" s="42">
        <v>53.609195402298852</v>
      </c>
      <c r="E30" s="44">
        <v>466.4</v>
      </c>
      <c r="F30" s="42">
        <f t="shared" si="0"/>
        <v>12.693228826475071</v>
      </c>
      <c r="H30" s="46"/>
      <c r="I30" s="46"/>
      <c r="J30" s="46"/>
      <c r="K30" s="46"/>
      <c r="L30" s="50"/>
    </row>
    <row r="31" spans="1:12" x14ac:dyDescent="0.2">
      <c r="A31" s="32" t="s">
        <v>33</v>
      </c>
      <c r="B31" s="46">
        <v>0</v>
      </c>
      <c r="C31" s="44">
        <v>0</v>
      </c>
      <c r="D31" s="42" t="s">
        <v>64</v>
      </c>
      <c r="E31" s="44">
        <v>0</v>
      </c>
      <c r="F31" s="44"/>
      <c r="G31" s="40"/>
      <c r="H31" s="46"/>
      <c r="I31" s="46"/>
      <c r="J31" s="46"/>
      <c r="K31" s="46"/>
      <c r="L31" s="50"/>
    </row>
    <row r="32" spans="1:12" x14ac:dyDescent="0.2">
      <c r="A32" s="32" t="s">
        <v>34</v>
      </c>
      <c r="B32" s="46">
        <v>9400</v>
      </c>
      <c r="C32" s="44">
        <v>9400</v>
      </c>
      <c r="D32" s="42">
        <v>60.765957446808514</v>
      </c>
      <c r="E32" s="44">
        <v>571.20000000000005</v>
      </c>
      <c r="F32" s="42">
        <f t="shared" si="0"/>
        <v>15.545395166557807</v>
      </c>
      <c r="H32" s="46"/>
      <c r="I32" s="46"/>
      <c r="J32" s="46"/>
      <c r="K32" s="46"/>
      <c r="L32" s="50"/>
    </row>
    <row r="33" spans="1:12" x14ac:dyDescent="0.2">
      <c r="A33" s="32" t="s">
        <v>35</v>
      </c>
      <c r="B33" s="46">
        <v>15000</v>
      </c>
      <c r="C33" s="44">
        <v>15000</v>
      </c>
      <c r="D33" s="42">
        <v>71.293333333333337</v>
      </c>
      <c r="E33" s="44">
        <v>1069.4000000000001</v>
      </c>
      <c r="F33" s="42">
        <f t="shared" si="0"/>
        <v>29.104071413019817</v>
      </c>
      <c r="H33" s="46"/>
      <c r="I33" s="46"/>
      <c r="J33" s="46"/>
      <c r="K33" s="46"/>
      <c r="L33" s="50"/>
    </row>
    <row r="34" spans="1:12" x14ac:dyDescent="0.2">
      <c r="A34" s="32" t="s">
        <v>36</v>
      </c>
      <c r="B34" s="46">
        <v>4000</v>
      </c>
      <c r="C34" s="44">
        <v>4000</v>
      </c>
      <c r="D34" s="42">
        <v>75.150000000000006</v>
      </c>
      <c r="E34" s="44">
        <v>300.60000000000002</v>
      </c>
      <c r="F34" s="42">
        <f t="shared" si="0"/>
        <v>8.1809274983670814</v>
      </c>
      <c r="H34" s="46"/>
      <c r="I34" s="46"/>
      <c r="J34" s="46"/>
      <c r="K34" s="46"/>
      <c r="L34" s="50"/>
    </row>
    <row r="35" spans="1:12" s="17" customFormat="1" ht="15" x14ac:dyDescent="0.25">
      <c r="A35" s="34" t="s">
        <v>37</v>
      </c>
      <c r="B35" s="47">
        <v>80900</v>
      </c>
      <c r="C35" s="45">
        <v>80900</v>
      </c>
      <c r="D35" s="43">
        <v>65.135970333745362</v>
      </c>
      <c r="E35" s="45">
        <v>5269.5</v>
      </c>
      <c r="F35" s="43">
        <f t="shared" si="0"/>
        <v>143.41116917047682</v>
      </c>
      <c r="G35" s="23"/>
      <c r="H35" s="47"/>
      <c r="I35" s="47"/>
      <c r="J35" s="47"/>
      <c r="K35" s="47"/>
      <c r="L35" s="50"/>
    </row>
    <row r="36" spans="1:12" x14ac:dyDescent="0.2">
      <c r="A36" s="32" t="s">
        <v>38</v>
      </c>
      <c r="B36" s="46">
        <v>4800</v>
      </c>
      <c r="C36" s="44">
        <v>4800</v>
      </c>
      <c r="D36" s="42">
        <v>47.541666666666664</v>
      </c>
      <c r="E36" s="44">
        <v>228.2</v>
      </c>
      <c r="F36" s="42">
        <f t="shared" si="0"/>
        <v>6.2105377748748092</v>
      </c>
      <c r="H36" s="46"/>
      <c r="I36" s="46"/>
      <c r="J36" s="46"/>
      <c r="K36" s="46"/>
      <c r="L36" s="50"/>
    </row>
    <row r="37" spans="1:12" x14ac:dyDescent="0.2">
      <c r="A37" s="32" t="s">
        <v>39</v>
      </c>
      <c r="B37" s="46">
        <v>3900</v>
      </c>
      <c r="C37" s="44">
        <v>3900</v>
      </c>
      <c r="D37" s="42">
        <v>57.974358974358971</v>
      </c>
      <c r="E37" s="44">
        <v>226.1</v>
      </c>
      <c r="F37" s="42">
        <f t="shared" si="0"/>
        <v>6.1533855867624645</v>
      </c>
      <c r="H37" s="46"/>
      <c r="I37" s="46"/>
      <c r="J37" s="46"/>
      <c r="K37" s="46"/>
      <c r="L37" s="50"/>
    </row>
    <row r="38" spans="1:12" x14ac:dyDescent="0.2">
      <c r="A38" s="32" t="s">
        <v>40</v>
      </c>
      <c r="B38" s="46">
        <v>5600</v>
      </c>
      <c r="C38" s="44">
        <v>5600</v>
      </c>
      <c r="D38" s="42">
        <v>44.642857142857146</v>
      </c>
      <c r="E38" s="44">
        <v>250</v>
      </c>
      <c r="F38" s="44">
        <f t="shared" si="0"/>
        <v>6.8038319181362947</v>
      </c>
      <c r="H38" s="46"/>
      <c r="I38" s="46"/>
      <c r="J38" s="46"/>
      <c r="K38" s="46"/>
      <c r="L38" s="50"/>
    </row>
    <row r="39" spans="1:12" x14ac:dyDescent="0.2">
      <c r="A39" s="32" t="s">
        <v>41</v>
      </c>
      <c r="B39" s="46">
        <v>10700</v>
      </c>
      <c r="C39" s="44">
        <v>10700</v>
      </c>
      <c r="D39" s="42">
        <v>67.065420560747668</v>
      </c>
      <c r="E39" s="44">
        <v>717.6</v>
      </c>
      <c r="F39" s="42">
        <f t="shared" si="0"/>
        <v>19.529719137818422</v>
      </c>
      <c r="H39" s="46"/>
      <c r="I39" s="46"/>
      <c r="J39" s="46"/>
      <c r="K39" s="46"/>
      <c r="L39" s="50"/>
    </row>
    <row r="40" spans="1:12" x14ac:dyDescent="0.2">
      <c r="A40" s="32" t="s">
        <v>42</v>
      </c>
      <c r="B40" s="46">
        <v>8600</v>
      </c>
      <c r="C40" s="44">
        <v>8600</v>
      </c>
      <c r="D40" s="42">
        <v>83.732558139534888</v>
      </c>
      <c r="E40" s="44">
        <v>720.1</v>
      </c>
      <c r="F40" s="42">
        <f t="shared" si="0"/>
        <v>19.597757456999783</v>
      </c>
      <c r="H40" s="46"/>
      <c r="I40" s="46"/>
      <c r="J40" s="46"/>
      <c r="K40" s="46"/>
      <c r="L40" s="50"/>
    </row>
    <row r="41" spans="1:12" x14ac:dyDescent="0.2">
      <c r="A41" s="32" t="s">
        <v>43</v>
      </c>
      <c r="B41" s="46">
        <v>5000</v>
      </c>
      <c r="C41" s="44">
        <v>5000</v>
      </c>
      <c r="D41" s="42">
        <v>54.88</v>
      </c>
      <c r="E41" s="44">
        <v>274.39999999999998</v>
      </c>
      <c r="F41" s="42">
        <f t="shared" si="0"/>
        <v>7.4678859133463957</v>
      </c>
      <c r="H41" s="46"/>
      <c r="I41" s="46"/>
      <c r="J41" s="46"/>
      <c r="K41" s="46"/>
      <c r="L41" s="50"/>
    </row>
    <row r="42" spans="1:12" x14ac:dyDescent="0.2">
      <c r="A42" s="32" t="s">
        <v>44</v>
      </c>
      <c r="B42" s="46">
        <v>1800</v>
      </c>
      <c r="C42" s="44">
        <v>1800</v>
      </c>
      <c r="D42" s="42">
        <v>69.111111111111114</v>
      </c>
      <c r="E42" s="44">
        <v>124.4</v>
      </c>
      <c r="F42" s="44">
        <f t="shared" si="0"/>
        <v>3.3855867624646203</v>
      </c>
      <c r="H42" s="46"/>
      <c r="I42" s="46"/>
      <c r="J42" s="46"/>
      <c r="K42" s="46"/>
      <c r="L42" s="50"/>
    </row>
    <row r="43" spans="1:12" x14ac:dyDescent="0.2">
      <c r="A43" s="32" t="s">
        <v>45</v>
      </c>
      <c r="B43" s="46">
        <v>4500</v>
      </c>
      <c r="C43" s="44">
        <v>4500</v>
      </c>
      <c r="D43" s="42">
        <v>50.244444444444447</v>
      </c>
      <c r="E43" s="44">
        <v>226.1</v>
      </c>
      <c r="F43" s="42">
        <f t="shared" si="0"/>
        <v>6.1533855867624645</v>
      </c>
      <c r="H43" s="46"/>
      <c r="I43" s="46"/>
      <c r="J43" s="46"/>
      <c r="K43" s="46"/>
      <c r="L43" s="50"/>
    </row>
    <row r="44" spans="1:12" s="17" customFormat="1" ht="15" x14ac:dyDescent="0.25">
      <c r="A44" s="34" t="s">
        <v>46</v>
      </c>
      <c r="B44" s="47">
        <v>44900</v>
      </c>
      <c r="C44" s="45">
        <v>44900</v>
      </c>
      <c r="D44" s="43">
        <v>61.623608017817375</v>
      </c>
      <c r="E44" s="45">
        <v>2766.9</v>
      </c>
      <c r="F44" s="43">
        <f t="shared" si="0"/>
        <v>75.302090137165251</v>
      </c>
      <c r="G44" s="23"/>
      <c r="H44" s="47"/>
      <c r="I44" s="47"/>
      <c r="J44" s="47"/>
      <c r="K44" s="47"/>
      <c r="L44" s="50"/>
    </row>
    <row r="45" spans="1:12" x14ac:dyDescent="0.2">
      <c r="A45" s="32" t="s">
        <v>47</v>
      </c>
      <c r="B45" s="46" t="s">
        <v>63</v>
      </c>
      <c r="C45" s="46" t="s">
        <v>63</v>
      </c>
      <c r="D45" s="46" t="s">
        <v>63</v>
      </c>
      <c r="E45" s="46" t="s">
        <v>63</v>
      </c>
      <c r="F45" s="44"/>
      <c r="H45" s="46"/>
      <c r="I45" s="46"/>
      <c r="J45" s="46"/>
      <c r="K45" s="46"/>
      <c r="L45" s="50"/>
    </row>
    <row r="46" spans="1:12" x14ac:dyDescent="0.2">
      <c r="A46" s="32" t="s">
        <v>48</v>
      </c>
      <c r="B46" s="46" t="s">
        <v>63</v>
      </c>
      <c r="C46" s="46" t="s">
        <v>63</v>
      </c>
      <c r="D46" s="46" t="s">
        <v>63</v>
      </c>
      <c r="E46" s="46" t="s">
        <v>63</v>
      </c>
      <c r="F46" s="44"/>
      <c r="H46" s="46"/>
      <c r="I46" s="46"/>
      <c r="J46" s="46"/>
      <c r="K46" s="46"/>
      <c r="L46" s="50"/>
    </row>
    <row r="47" spans="1:12" x14ac:dyDescent="0.2">
      <c r="A47" s="35" t="s">
        <v>49</v>
      </c>
      <c r="B47" s="46">
        <v>1900</v>
      </c>
      <c r="C47" s="44">
        <v>1900</v>
      </c>
      <c r="D47" s="42">
        <v>74</v>
      </c>
      <c r="E47" s="44">
        <v>140.6</v>
      </c>
      <c r="F47" s="42">
        <f t="shared" si="0"/>
        <v>3.8264750707598516</v>
      </c>
      <c r="G47" s="24"/>
      <c r="H47" s="46"/>
      <c r="I47" s="46"/>
      <c r="J47" s="46"/>
      <c r="K47" s="46"/>
      <c r="L47" s="50"/>
    </row>
    <row r="48" spans="1:12" x14ac:dyDescent="0.2">
      <c r="A48" s="32" t="s">
        <v>50</v>
      </c>
      <c r="B48" s="46">
        <v>0</v>
      </c>
      <c r="C48" s="46">
        <v>0</v>
      </c>
      <c r="D48" s="46" t="s">
        <v>64</v>
      </c>
      <c r="E48" s="46">
        <v>0</v>
      </c>
      <c r="F48" s="44"/>
      <c r="H48" s="46"/>
      <c r="I48" s="46"/>
      <c r="J48" s="46"/>
      <c r="K48" s="46"/>
      <c r="L48" s="50"/>
    </row>
    <row r="49" spans="1:12" x14ac:dyDescent="0.2">
      <c r="A49" s="32" t="s">
        <v>51</v>
      </c>
      <c r="B49" s="46">
        <v>0</v>
      </c>
      <c r="C49" s="44">
        <v>0</v>
      </c>
      <c r="D49" s="42" t="s">
        <v>64</v>
      </c>
      <c r="E49" s="44">
        <v>0</v>
      </c>
      <c r="F49" s="44"/>
      <c r="H49" s="46"/>
      <c r="I49" s="46"/>
      <c r="J49" s="46"/>
      <c r="K49" s="46"/>
      <c r="L49" s="50"/>
    </row>
    <row r="50" spans="1:12" x14ac:dyDescent="0.2">
      <c r="A50" s="32" t="s">
        <v>52</v>
      </c>
      <c r="B50" s="46">
        <v>0</v>
      </c>
      <c r="C50" s="44">
        <v>0</v>
      </c>
      <c r="D50" s="42" t="s">
        <v>64</v>
      </c>
      <c r="E50" s="44">
        <v>0</v>
      </c>
      <c r="F50" s="42">
        <f t="shared" si="0"/>
        <v>0</v>
      </c>
      <c r="H50" s="46"/>
      <c r="I50" s="46"/>
      <c r="J50" s="46"/>
      <c r="K50" s="46"/>
      <c r="L50" s="50"/>
    </row>
    <row r="51" spans="1:12" x14ac:dyDescent="0.2">
      <c r="A51" s="32" t="s">
        <v>53</v>
      </c>
      <c r="B51" s="46">
        <v>0</v>
      </c>
      <c r="C51" s="44">
        <v>0</v>
      </c>
      <c r="D51" s="42" t="s">
        <v>64</v>
      </c>
      <c r="E51" s="44">
        <v>0</v>
      </c>
      <c r="F51" s="44"/>
      <c r="H51" s="46"/>
      <c r="I51" s="46"/>
      <c r="J51" s="46"/>
      <c r="K51" s="46"/>
      <c r="L51" s="50"/>
    </row>
    <row r="52" spans="1:12" x14ac:dyDescent="0.2">
      <c r="A52" s="32" t="s">
        <v>54</v>
      </c>
      <c r="B52" s="46" t="s">
        <v>63</v>
      </c>
      <c r="C52" s="46" t="s">
        <v>63</v>
      </c>
      <c r="D52" s="46" t="s">
        <v>63</v>
      </c>
      <c r="E52" s="46" t="s">
        <v>63</v>
      </c>
      <c r="F52" s="44"/>
      <c r="H52" s="46"/>
      <c r="I52" s="46"/>
      <c r="J52" s="46"/>
      <c r="K52" s="46"/>
      <c r="L52" s="50"/>
    </row>
    <row r="53" spans="1:12" x14ac:dyDescent="0.2">
      <c r="A53" s="32" t="s">
        <v>55</v>
      </c>
      <c r="B53" s="46">
        <v>0</v>
      </c>
      <c r="C53" s="44">
        <v>0</v>
      </c>
      <c r="D53" s="42" t="s">
        <v>64</v>
      </c>
      <c r="E53" s="44">
        <v>0</v>
      </c>
      <c r="F53" s="44"/>
      <c r="H53" s="46"/>
      <c r="I53" s="46"/>
      <c r="J53" s="46"/>
      <c r="K53" s="46"/>
      <c r="L53" s="50"/>
    </row>
    <row r="54" spans="1:12" x14ac:dyDescent="0.2">
      <c r="A54" s="32" t="s">
        <v>56</v>
      </c>
      <c r="B54" s="46">
        <v>800</v>
      </c>
      <c r="C54" s="44">
        <v>800</v>
      </c>
      <c r="D54" s="42">
        <v>75.75</v>
      </c>
      <c r="E54" s="44">
        <v>60.6</v>
      </c>
      <c r="F54" s="42">
        <f t="shared" si="0"/>
        <v>1.6492488569562378</v>
      </c>
      <c r="H54" s="46"/>
      <c r="I54" s="46"/>
      <c r="J54" s="46"/>
      <c r="K54" s="46"/>
      <c r="L54" s="50"/>
    </row>
    <row r="55" spans="1:12" s="17" customFormat="1" ht="15" x14ac:dyDescent="0.25">
      <c r="A55" s="34" t="s">
        <v>57</v>
      </c>
      <c r="B55" s="47">
        <v>26000</v>
      </c>
      <c r="C55" s="45">
        <v>25700</v>
      </c>
      <c r="D55" s="43">
        <v>60.910505836575872</v>
      </c>
      <c r="E55" s="45">
        <v>1565.4</v>
      </c>
      <c r="F55" s="37">
        <f t="shared" si="0"/>
        <v>42.602873938602222</v>
      </c>
      <c r="G55" s="23"/>
      <c r="H55" s="47"/>
      <c r="I55" s="47"/>
      <c r="J55" s="47"/>
      <c r="K55" s="47"/>
      <c r="L55" s="50"/>
    </row>
    <row r="56" spans="1:12" s="17" customFormat="1" ht="15.75" thickBot="1" x14ac:dyDescent="0.3">
      <c r="A56" s="36" t="s">
        <v>0</v>
      </c>
      <c r="B56" s="47">
        <v>975000</v>
      </c>
      <c r="C56" s="45">
        <v>975000</v>
      </c>
      <c r="D56" s="43">
        <v>90.899764029957936</v>
      </c>
      <c r="E56" s="45">
        <v>88600</v>
      </c>
      <c r="F56" s="38">
        <f t="shared" si="0"/>
        <v>2411.2780317875026</v>
      </c>
      <c r="H56" s="47"/>
      <c r="I56" s="47"/>
      <c r="J56" s="47"/>
      <c r="K56" s="47"/>
      <c r="L56" s="50"/>
    </row>
    <row r="57" spans="1:12" s="22" customFormat="1" x14ac:dyDescent="0.2">
      <c r="A57" s="20"/>
      <c r="B57" s="20"/>
      <c r="C57" s="16"/>
      <c r="D57" s="20"/>
      <c r="E57" s="15"/>
      <c r="F57" s="21"/>
      <c r="G57" s="20"/>
      <c r="H57" s="40"/>
      <c r="I57" s="40"/>
      <c r="J57" s="40"/>
      <c r="K57" s="40"/>
    </row>
    <row r="58" spans="1:12" ht="189.75" customHeight="1" x14ac:dyDescent="0.2">
      <c r="A58" s="107" t="s">
        <v>58</v>
      </c>
      <c r="B58" s="107"/>
      <c r="C58" s="107"/>
      <c r="D58" s="107"/>
      <c r="E58" s="107"/>
      <c r="F58" s="107"/>
      <c r="G58" s="3"/>
    </row>
    <row r="59" spans="1:12" ht="15" x14ac:dyDescent="0.2">
      <c r="A59"/>
      <c r="B59" s="6"/>
      <c r="C59" s="6"/>
      <c r="D59" s="8"/>
      <c r="E59" s="12"/>
      <c r="F59" s="14"/>
      <c r="G59" s="3"/>
    </row>
    <row r="60" spans="1:12" ht="15" x14ac:dyDescent="0.25">
      <c r="A60" s="17" t="s">
        <v>60</v>
      </c>
      <c r="B60" s="6"/>
      <c r="C60" s="6"/>
      <c r="D60" s="8"/>
      <c r="E60" s="6"/>
      <c r="F60" s="7"/>
      <c r="G60" s="3"/>
    </row>
    <row r="61" spans="1:12" x14ac:dyDescent="0.2">
      <c r="A61" s="41" t="s">
        <v>62</v>
      </c>
      <c r="B61" s="6"/>
      <c r="C61" s="6"/>
      <c r="D61" s="8"/>
      <c r="E61" s="6"/>
      <c r="F61" s="7"/>
      <c r="G61" s="3"/>
    </row>
    <row r="62" spans="1:12" x14ac:dyDescent="0.2">
      <c r="A62" s="3"/>
      <c r="B62" s="6"/>
      <c r="C62" s="6"/>
      <c r="D62" s="8"/>
      <c r="E62" s="6"/>
      <c r="F62" s="7"/>
      <c r="G62" s="3"/>
    </row>
    <row r="63" spans="1:12" x14ac:dyDescent="0.2">
      <c r="A63" s="3"/>
      <c r="B63" s="6"/>
      <c r="C63" s="6"/>
      <c r="D63" s="8"/>
      <c r="E63" s="6"/>
      <c r="F63" s="7"/>
      <c r="G63" s="3"/>
    </row>
    <row r="64" spans="1:12" x14ac:dyDescent="0.2">
      <c r="A64" s="3"/>
      <c r="B64" s="6"/>
      <c r="C64" s="6"/>
      <c r="D64" s="8"/>
      <c r="E64" s="6"/>
      <c r="F64" s="7"/>
      <c r="G64" s="3"/>
    </row>
    <row r="65" spans="1:7" x14ac:dyDescent="0.2">
      <c r="A65" s="3"/>
      <c r="B65" s="6"/>
      <c r="C65" s="6"/>
      <c r="D65" s="8"/>
      <c r="E65" s="6"/>
      <c r="F65" s="7"/>
      <c r="G65" s="3"/>
    </row>
    <row r="66" spans="1:7" x14ac:dyDescent="0.2">
      <c r="A66" s="3"/>
      <c r="B66" s="6"/>
      <c r="C66" s="6"/>
      <c r="D66" s="8"/>
      <c r="E66" s="6"/>
      <c r="F66" s="7"/>
      <c r="G66" s="3"/>
    </row>
    <row r="67" spans="1:7" x14ac:dyDescent="0.2">
      <c r="A67" s="3"/>
      <c r="B67" s="6"/>
      <c r="C67" s="6"/>
      <c r="D67" s="8"/>
      <c r="E67" s="6"/>
      <c r="F67" s="7"/>
      <c r="G67" s="3"/>
    </row>
    <row r="68" spans="1:7" x14ac:dyDescent="0.2">
      <c r="A68" s="3"/>
      <c r="B68" s="6"/>
      <c r="C68" s="6"/>
      <c r="D68" s="8"/>
      <c r="E68" s="6"/>
      <c r="F68" s="7"/>
      <c r="G68" s="3"/>
    </row>
    <row r="69" spans="1:7" x14ac:dyDescent="0.2">
      <c r="A69" s="3"/>
      <c r="B69" s="3"/>
      <c r="C69" s="3"/>
      <c r="D69" s="3"/>
      <c r="E69" s="6"/>
      <c r="F69" s="7"/>
      <c r="G69" s="3"/>
    </row>
    <row r="70" spans="1:7" x14ac:dyDescent="0.2">
      <c r="A70" s="3"/>
      <c r="B70" s="3"/>
      <c r="C70" s="3"/>
      <c r="D70" s="3"/>
      <c r="E70" s="6"/>
      <c r="F70" s="7"/>
      <c r="G70" s="3"/>
    </row>
    <row r="71" spans="1:7" x14ac:dyDescent="0.2">
      <c r="A71" s="3"/>
      <c r="B71" s="3"/>
      <c r="C71" s="3"/>
      <c r="D71" s="3"/>
      <c r="E71" s="6"/>
      <c r="F71" s="7"/>
      <c r="G71" s="3"/>
    </row>
    <row r="72" spans="1:7" x14ac:dyDescent="0.2">
      <c r="A72" s="3"/>
      <c r="B72" s="3"/>
      <c r="C72" s="3"/>
      <c r="D72" s="3"/>
      <c r="E72" s="6"/>
      <c r="F72" s="7"/>
      <c r="G72" s="3"/>
    </row>
    <row r="73" spans="1:7" x14ac:dyDescent="0.2">
      <c r="A73" s="3"/>
      <c r="B73" s="3"/>
      <c r="C73" s="3"/>
      <c r="D73" s="3"/>
      <c r="E73" s="3"/>
      <c r="F73" s="3"/>
      <c r="G73" s="3"/>
    </row>
    <row r="74" spans="1:7" x14ac:dyDescent="0.2">
      <c r="A74" s="3"/>
      <c r="B74" s="3"/>
      <c r="C74" s="3"/>
      <c r="D74" s="3"/>
      <c r="E74" s="3"/>
      <c r="F74" s="3"/>
      <c r="G74" s="3"/>
    </row>
    <row r="75" spans="1:7" x14ac:dyDescent="0.2">
      <c r="A75" s="3"/>
      <c r="B75" s="3"/>
      <c r="C75" s="3"/>
      <c r="D75" s="3"/>
      <c r="E75" s="3"/>
      <c r="F75" s="3"/>
      <c r="G75" s="3"/>
    </row>
    <row r="76" spans="1:7" x14ac:dyDescent="0.2">
      <c r="A76" s="3"/>
      <c r="B76" s="3"/>
      <c r="C76" s="3"/>
      <c r="D76" s="3"/>
      <c r="E76" s="3"/>
      <c r="F76" s="3"/>
      <c r="G76" s="3"/>
    </row>
    <row r="77" spans="1:7" x14ac:dyDescent="0.2">
      <c r="A77" s="3"/>
      <c r="B77" s="3"/>
      <c r="C77" s="3"/>
      <c r="D77" s="3"/>
      <c r="E77" s="3"/>
      <c r="F77" s="3"/>
      <c r="G77" s="3"/>
    </row>
    <row r="78" spans="1:7" x14ac:dyDescent="0.2">
      <c r="A78" s="3"/>
      <c r="B78" s="3"/>
      <c r="C78" s="3"/>
      <c r="D78" s="3"/>
      <c r="E78" s="3"/>
      <c r="F78" s="3"/>
      <c r="G78" s="3"/>
    </row>
    <row r="79" spans="1:7" x14ac:dyDescent="0.2">
      <c r="A79" s="3"/>
      <c r="E79" s="3"/>
      <c r="F79" s="3"/>
      <c r="G79" s="3"/>
    </row>
    <row r="80" spans="1:7" x14ac:dyDescent="0.2">
      <c r="A80" s="3"/>
      <c r="E80" s="3"/>
      <c r="F80" s="3"/>
      <c r="G80" s="3"/>
    </row>
    <row r="81" spans="1:7" x14ac:dyDescent="0.2">
      <c r="A81" s="3"/>
      <c r="E81" s="3"/>
      <c r="F81" s="3"/>
      <c r="G81" s="3"/>
    </row>
    <row r="82" spans="1:7" x14ac:dyDescent="0.2">
      <c r="A82" s="3"/>
      <c r="E82" s="3"/>
      <c r="F82" s="3"/>
      <c r="G82" s="3"/>
    </row>
  </sheetData>
  <phoneticPr fontId="0" type="noConversion"/>
  <pageMargins left="0.75" right="0.25" top="0.25" bottom="0.182" header="0.5" footer="0.5"/>
  <pageSetup scale="78"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1"/>
  <sheetViews>
    <sheetView workbookViewId="0">
      <selection activeCell="H14" sqref="H14"/>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6384" width="9.77734375" style="1"/>
  </cols>
  <sheetData>
    <row r="1" spans="1:13" ht="15.75" thickBot="1" x14ac:dyDescent="0.3">
      <c r="A1" s="48" t="s">
        <v>65</v>
      </c>
      <c r="B1" s="49"/>
      <c r="C1" s="49"/>
      <c r="D1" s="49"/>
      <c r="E1" s="49"/>
      <c r="F1" s="49"/>
      <c r="G1" s="3"/>
    </row>
    <row r="2" spans="1:13" ht="47.25" customHeight="1" thickBot="1" x14ac:dyDescent="0.3">
      <c r="A2" s="28"/>
      <c r="B2" s="39" t="s">
        <v>59</v>
      </c>
      <c r="C2" s="29" t="s">
        <v>2</v>
      </c>
      <c r="D2" s="30" t="s">
        <v>3</v>
      </c>
      <c r="E2" s="29" t="s">
        <v>4</v>
      </c>
      <c r="F2" s="31" t="s">
        <v>1</v>
      </c>
      <c r="G2" s="3"/>
    </row>
    <row r="3" spans="1:13" x14ac:dyDescent="0.2">
      <c r="A3" s="32" t="s">
        <v>5</v>
      </c>
      <c r="B3" s="46">
        <v>17207.447826729887</v>
      </c>
      <c r="C3" s="46">
        <v>17070.880780485997</v>
      </c>
      <c r="D3" s="50">
        <v>71</v>
      </c>
      <c r="E3" s="46">
        <v>1212</v>
      </c>
      <c r="F3" s="33">
        <f>+E3/36.744</f>
        <v>32.984977139124759</v>
      </c>
      <c r="G3" s="16"/>
      <c r="H3" s="46"/>
      <c r="I3" s="46"/>
      <c r="K3" s="46"/>
      <c r="L3" s="46"/>
    </row>
    <row r="4" spans="1:13" x14ac:dyDescent="0.2">
      <c r="A4" s="32" t="s">
        <v>6</v>
      </c>
      <c r="B4" s="46">
        <v>54623.642519735564</v>
      </c>
      <c r="C4" s="46">
        <v>54190.121547356714</v>
      </c>
      <c r="D4" s="50">
        <v>78</v>
      </c>
      <c r="E4" s="46">
        <v>4227</v>
      </c>
      <c r="F4" s="33">
        <f t="shared" ref="F4:F56" si="0">+E4/36.744</f>
        <v>115.03919007184847</v>
      </c>
      <c r="G4" s="16"/>
      <c r="H4" s="46"/>
      <c r="I4" s="46"/>
      <c r="K4" s="46"/>
      <c r="L4" s="46"/>
    </row>
    <row r="5" spans="1:13" x14ac:dyDescent="0.2">
      <c r="A5" s="32" t="s">
        <v>7</v>
      </c>
      <c r="B5" s="46">
        <v>14906.451896411354</v>
      </c>
      <c r="C5" s="46">
        <v>14788.14672263031</v>
      </c>
      <c r="D5" s="50">
        <v>74</v>
      </c>
      <c r="E5" s="46">
        <v>1094</v>
      </c>
      <c r="F5" s="33">
        <f t="shared" si="0"/>
        <v>29.773568473764424</v>
      </c>
      <c r="H5" s="46"/>
      <c r="I5" s="46"/>
      <c r="K5" s="46"/>
      <c r="L5" s="46"/>
    </row>
    <row r="6" spans="1:13" x14ac:dyDescent="0.2">
      <c r="A6" s="32" t="s">
        <v>8</v>
      </c>
      <c r="B6" s="46">
        <v>34014.722448186985</v>
      </c>
      <c r="C6" s="46">
        <v>33744.764333518833</v>
      </c>
      <c r="D6" s="50">
        <v>69</v>
      </c>
      <c r="E6" s="46">
        <v>2328</v>
      </c>
      <c r="F6" s="33">
        <f t="shared" si="0"/>
        <v>63.357282821685175</v>
      </c>
      <c r="H6" s="46"/>
      <c r="I6" s="46"/>
      <c r="K6" s="46"/>
      <c r="L6" s="46"/>
    </row>
    <row r="7" spans="1:13" x14ac:dyDescent="0.2">
      <c r="A7" s="32" t="s">
        <v>9</v>
      </c>
      <c r="B7" s="46">
        <v>22609.786097912525</v>
      </c>
      <c r="C7" s="46">
        <v>22430.343351103696</v>
      </c>
      <c r="D7" s="50">
        <v>68</v>
      </c>
      <c r="E7" s="46">
        <v>1525</v>
      </c>
      <c r="F7" s="33">
        <f t="shared" si="0"/>
        <v>41.503374700631397</v>
      </c>
      <c r="H7" s="46"/>
      <c r="I7" s="46"/>
      <c r="K7" s="46"/>
      <c r="L7" s="46"/>
    </row>
    <row r="8" spans="1:13" x14ac:dyDescent="0.2">
      <c r="A8" s="32" t="s">
        <v>10</v>
      </c>
      <c r="B8" s="46">
        <v>6002.5980790918211</v>
      </c>
      <c r="C8" s="46">
        <v>5954.9584117974418</v>
      </c>
      <c r="D8" s="50">
        <v>68</v>
      </c>
      <c r="E8" s="46">
        <v>405</v>
      </c>
      <c r="F8" s="33">
        <f t="shared" si="0"/>
        <v>11.022207707380797</v>
      </c>
      <c r="H8" s="46"/>
      <c r="I8" s="46"/>
      <c r="K8" s="46"/>
      <c r="L8" s="46"/>
    </row>
    <row r="9" spans="1:13" x14ac:dyDescent="0.2">
      <c r="A9" s="32" t="s">
        <v>11</v>
      </c>
      <c r="B9" s="46">
        <v>39817.233924642409</v>
      </c>
      <c r="C9" s="46">
        <v>39501.22413158969</v>
      </c>
      <c r="D9" s="50">
        <v>74</v>
      </c>
      <c r="E9" s="46">
        <v>2923</v>
      </c>
      <c r="F9" s="33">
        <f t="shared" si="0"/>
        <v>79.55040278684956</v>
      </c>
      <c r="H9" s="46"/>
      <c r="I9" s="46"/>
      <c r="K9" s="46"/>
      <c r="L9" s="46"/>
    </row>
    <row r="10" spans="1:13" x14ac:dyDescent="0.2">
      <c r="A10" s="32" t="s">
        <v>12</v>
      </c>
      <c r="B10" s="46">
        <v>40717.623636506185</v>
      </c>
      <c r="C10" s="46">
        <v>40394.46789335931</v>
      </c>
      <c r="D10" s="50">
        <v>85</v>
      </c>
      <c r="E10" s="46">
        <v>3434</v>
      </c>
      <c r="F10" s="33">
        <f t="shared" si="0"/>
        <v>93.457435227520136</v>
      </c>
      <c r="H10" s="46"/>
      <c r="I10" s="46"/>
      <c r="K10" s="46"/>
      <c r="L10" s="46"/>
    </row>
    <row r="11" spans="1:13" x14ac:dyDescent="0.2">
      <c r="A11" s="32" t="s">
        <v>13</v>
      </c>
      <c r="B11" s="46">
        <v>16006.928210911523</v>
      </c>
      <c r="C11" s="46">
        <v>15879.889098126512</v>
      </c>
      <c r="D11" s="50">
        <v>69</v>
      </c>
      <c r="E11" s="46">
        <v>1096</v>
      </c>
      <c r="F11" s="33">
        <f t="shared" si="0"/>
        <v>29.827999129109514</v>
      </c>
      <c r="H11" s="46"/>
      <c r="I11" s="46"/>
      <c r="K11" s="46"/>
      <c r="L11" s="46"/>
    </row>
    <row r="12" spans="1:13" x14ac:dyDescent="0.2">
      <c r="A12" s="32" t="s">
        <v>14</v>
      </c>
      <c r="B12" s="46">
        <v>31113.466709959273</v>
      </c>
      <c r="C12" s="46">
        <v>30866.534434483405</v>
      </c>
      <c r="D12" s="50">
        <v>85</v>
      </c>
      <c r="E12" s="46">
        <v>2624</v>
      </c>
      <c r="F12" s="33">
        <f t="shared" si="0"/>
        <v>71.413019812758549</v>
      </c>
      <c r="H12" s="46"/>
      <c r="I12" s="46"/>
      <c r="K12" s="46"/>
      <c r="L12" s="46"/>
    </row>
    <row r="13" spans="1:13" s="17" customFormat="1" ht="15" x14ac:dyDescent="0.25">
      <c r="A13" s="34" t="s">
        <v>15</v>
      </c>
      <c r="B13" s="47">
        <v>277019.90135008749</v>
      </c>
      <c r="C13" s="47">
        <v>274821.33070445189</v>
      </c>
      <c r="D13" s="51">
        <v>75.932970510363504</v>
      </c>
      <c r="E13" s="47">
        <v>20868</v>
      </c>
      <c r="F13" s="37">
        <f t="shared" si="0"/>
        <v>567.92945787067276</v>
      </c>
      <c r="G13" s="23"/>
      <c r="H13" s="47"/>
      <c r="I13" s="47"/>
      <c r="K13" s="47"/>
      <c r="L13" s="46"/>
      <c r="M13" s="1"/>
    </row>
    <row r="14" spans="1:13" x14ac:dyDescent="0.2">
      <c r="A14" s="32" t="s">
        <v>16</v>
      </c>
      <c r="B14" s="46">
        <v>28012.124369095163</v>
      </c>
      <c r="C14" s="46">
        <v>27789.805921721396</v>
      </c>
      <c r="D14" s="50">
        <v>85</v>
      </c>
      <c r="E14" s="46">
        <v>2362</v>
      </c>
      <c r="F14" s="33">
        <f t="shared" si="0"/>
        <v>64.282603962551704</v>
      </c>
      <c r="H14" s="46"/>
      <c r="I14" s="46"/>
      <c r="K14" s="46"/>
      <c r="L14" s="46"/>
    </row>
    <row r="15" spans="1:13" x14ac:dyDescent="0.2">
      <c r="A15" s="32" t="s">
        <v>17</v>
      </c>
      <c r="B15" s="46">
        <v>5929.8863770870621</v>
      </c>
      <c r="C15" s="46">
        <v>5882.8237867927201</v>
      </c>
      <c r="D15" s="50">
        <v>80</v>
      </c>
      <c r="E15" s="46">
        <v>471</v>
      </c>
      <c r="F15" s="33">
        <f t="shared" si="0"/>
        <v>12.818419333768778</v>
      </c>
      <c r="H15" s="46"/>
      <c r="I15" s="46"/>
      <c r="K15" s="46"/>
      <c r="L15" s="46"/>
    </row>
    <row r="16" spans="1:13" x14ac:dyDescent="0.2">
      <c r="A16" s="32" t="s">
        <v>18</v>
      </c>
      <c r="B16" s="46">
        <v>15006.495197729553</v>
      </c>
      <c r="C16" s="46">
        <v>14887.396029493604</v>
      </c>
      <c r="D16" s="50">
        <v>68</v>
      </c>
      <c r="E16" s="46">
        <v>1012</v>
      </c>
      <c r="F16" s="33">
        <f t="shared" si="0"/>
        <v>27.54191160461572</v>
      </c>
      <c r="H16" s="46"/>
      <c r="I16" s="46"/>
      <c r="K16" s="46"/>
      <c r="L16" s="46"/>
    </row>
    <row r="17" spans="1:13" x14ac:dyDescent="0.2">
      <c r="A17" s="32" t="s">
        <v>19</v>
      </c>
      <c r="B17" s="46">
        <v>3201.3856421823043</v>
      </c>
      <c r="C17" s="46">
        <v>3175.9778196253019</v>
      </c>
      <c r="D17" s="50">
        <v>65</v>
      </c>
      <c r="E17" s="46">
        <v>206</v>
      </c>
      <c r="F17" s="33">
        <f t="shared" si="0"/>
        <v>5.6063575005443065</v>
      </c>
      <c r="H17" s="46"/>
      <c r="I17" s="46"/>
      <c r="K17" s="46"/>
      <c r="L17" s="46"/>
    </row>
    <row r="18" spans="1:13" x14ac:dyDescent="0.2">
      <c r="A18" s="32" t="s">
        <v>20</v>
      </c>
      <c r="B18" s="46">
        <v>53523.166205235408</v>
      </c>
      <c r="C18" s="46">
        <v>53098.379171860521</v>
      </c>
      <c r="D18" s="50">
        <v>87</v>
      </c>
      <c r="E18" s="46">
        <v>4620</v>
      </c>
      <c r="F18" s="33">
        <f t="shared" si="0"/>
        <v>125.73481384715872</v>
      </c>
      <c r="H18" s="46"/>
      <c r="I18" s="46"/>
      <c r="K18" s="46"/>
      <c r="L18" s="46"/>
    </row>
    <row r="19" spans="1:13" x14ac:dyDescent="0.2">
      <c r="A19" s="32" t="s">
        <v>21</v>
      </c>
      <c r="B19" s="46">
        <v>6802.9444896373971</v>
      </c>
      <c r="C19" s="46">
        <v>6748.9528667037666</v>
      </c>
      <c r="D19" s="50">
        <v>73</v>
      </c>
      <c r="E19" s="46">
        <v>493</v>
      </c>
      <c r="F19" s="33">
        <f t="shared" si="0"/>
        <v>13.417156542564772</v>
      </c>
      <c r="H19" s="46"/>
      <c r="I19" s="46"/>
      <c r="K19" s="46"/>
      <c r="L19" s="46"/>
    </row>
    <row r="20" spans="1:13" x14ac:dyDescent="0.2">
      <c r="A20" s="32" t="s">
        <v>22</v>
      </c>
      <c r="B20" s="46">
        <v>58125.158065872471</v>
      </c>
      <c r="C20" s="46">
        <v>57663.847287571894</v>
      </c>
      <c r="D20" s="50">
        <v>87</v>
      </c>
      <c r="E20" s="46">
        <v>5017</v>
      </c>
      <c r="F20" s="33">
        <f t="shared" si="0"/>
        <v>136.53929893315916</v>
      </c>
      <c r="H20" s="46"/>
      <c r="I20" s="46"/>
      <c r="K20" s="46"/>
      <c r="L20" s="46"/>
    </row>
    <row r="21" spans="1:13" x14ac:dyDescent="0.2">
      <c r="A21" s="32" t="s">
        <v>23</v>
      </c>
      <c r="B21" s="46">
        <v>53823.296109189992</v>
      </c>
      <c r="C21" s="46">
        <v>53396.127092450384</v>
      </c>
      <c r="D21" s="50">
        <v>82</v>
      </c>
      <c r="E21" s="46">
        <v>4378</v>
      </c>
      <c r="F21" s="33">
        <f t="shared" si="0"/>
        <v>119.14870455040278</v>
      </c>
      <c r="H21" s="46"/>
      <c r="I21" s="46"/>
      <c r="K21" s="46"/>
      <c r="L21" s="46"/>
    </row>
    <row r="22" spans="1:13" x14ac:dyDescent="0.2">
      <c r="A22" s="32" t="s">
        <v>24</v>
      </c>
      <c r="B22" s="46">
        <v>15506.711704320538</v>
      </c>
      <c r="C22" s="46">
        <v>15383.642563810057</v>
      </c>
      <c r="D22" s="50">
        <v>78</v>
      </c>
      <c r="E22" s="46">
        <v>1200</v>
      </c>
      <c r="F22" s="33">
        <f t="shared" si="0"/>
        <v>32.65839320705421</v>
      </c>
      <c r="H22" s="46"/>
      <c r="I22" s="46"/>
      <c r="K22" s="46"/>
      <c r="L22" s="46"/>
    </row>
    <row r="23" spans="1:13" x14ac:dyDescent="0.2">
      <c r="A23" s="32" t="s">
        <v>25</v>
      </c>
      <c r="B23" s="46">
        <v>31613.68321655026</v>
      </c>
      <c r="C23" s="46">
        <v>31362.780968799863</v>
      </c>
      <c r="D23" s="50">
        <v>81</v>
      </c>
      <c r="E23" s="46">
        <v>2540</v>
      </c>
      <c r="F23" s="33">
        <f t="shared" si="0"/>
        <v>69.126932288264754</v>
      </c>
      <c r="H23" s="46"/>
      <c r="I23" s="46"/>
      <c r="K23" s="46"/>
      <c r="L23" s="46"/>
    </row>
    <row r="24" spans="1:13" s="17" customFormat="1" ht="15" x14ac:dyDescent="0.25">
      <c r="A24" s="34" t="s">
        <v>26</v>
      </c>
      <c r="B24" s="47">
        <v>271544.8513769001</v>
      </c>
      <c r="C24" s="47">
        <v>269389.73350882949</v>
      </c>
      <c r="D24" s="51">
        <v>82.775982995169073</v>
      </c>
      <c r="E24" s="47">
        <v>22299</v>
      </c>
      <c r="F24" s="37">
        <f t="shared" si="0"/>
        <v>606.87459177008486</v>
      </c>
      <c r="G24" s="23"/>
      <c r="H24" s="47"/>
      <c r="I24" s="47"/>
      <c r="K24" s="47"/>
      <c r="L24" s="46"/>
      <c r="M24" s="1"/>
    </row>
    <row r="25" spans="1:13" x14ac:dyDescent="0.2">
      <c r="A25" s="32" t="s">
        <v>27</v>
      </c>
      <c r="B25" s="46">
        <v>20608.920071548586</v>
      </c>
      <c r="C25" s="46">
        <v>20445.357213837884</v>
      </c>
      <c r="D25" s="50">
        <v>76.099999999999994</v>
      </c>
      <c r="E25" s="46">
        <v>1556</v>
      </c>
      <c r="F25" s="33">
        <f t="shared" si="0"/>
        <v>42.347049858480297</v>
      </c>
      <c r="H25" s="46"/>
      <c r="I25" s="46"/>
      <c r="K25" s="46"/>
      <c r="L25" s="46"/>
    </row>
    <row r="26" spans="1:13" x14ac:dyDescent="0.2">
      <c r="A26" s="32" t="s">
        <v>28</v>
      </c>
      <c r="B26" s="46">
        <v>0</v>
      </c>
      <c r="C26" s="46">
        <v>0</v>
      </c>
      <c r="D26" s="46">
        <v>0</v>
      </c>
      <c r="E26" s="46">
        <v>0</v>
      </c>
      <c r="F26" s="33">
        <f t="shared" si="0"/>
        <v>0</v>
      </c>
      <c r="G26" s="40"/>
      <c r="H26" s="46"/>
      <c r="I26" s="46"/>
      <c r="K26" s="46"/>
      <c r="L26" s="46"/>
    </row>
    <row r="27" spans="1:13" x14ac:dyDescent="0.2">
      <c r="A27" s="32" t="s">
        <v>29</v>
      </c>
      <c r="B27" s="46">
        <v>2701.1691355913194</v>
      </c>
      <c r="C27" s="46">
        <v>2679.7312853088483</v>
      </c>
      <c r="D27" s="50">
        <v>72.7</v>
      </c>
      <c r="E27" s="46">
        <v>195</v>
      </c>
      <c r="F27" s="33">
        <f t="shared" si="0"/>
        <v>5.3069888961463096</v>
      </c>
      <c r="H27" s="46"/>
      <c r="I27" s="46"/>
      <c r="K27" s="46"/>
      <c r="L27" s="46"/>
    </row>
    <row r="28" spans="1:13" x14ac:dyDescent="0.2">
      <c r="A28" s="32" t="s">
        <v>30</v>
      </c>
      <c r="B28" s="46">
        <v>9804.2435291833081</v>
      </c>
      <c r="C28" s="46">
        <v>9726.4320726024889</v>
      </c>
      <c r="D28" s="50">
        <v>68</v>
      </c>
      <c r="E28" s="46">
        <v>661</v>
      </c>
      <c r="F28" s="33">
        <f t="shared" si="0"/>
        <v>17.989331591552361</v>
      </c>
      <c r="H28" s="46"/>
      <c r="I28" s="46"/>
      <c r="K28" s="46"/>
      <c r="L28" s="46"/>
    </row>
    <row r="29" spans="1:13" x14ac:dyDescent="0.2">
      <c r="A29" s="32" t="s">
        <v>31</v>
      </c>
      <c r="B29" s="46">
        <v>0</v>
      </c>
      <c r="C29" s="46">
        <v>0</v>
      </c>
      <c r="D29" s="46">
        <v>0</v>
      </c>
      <c r="E29" s="46">
        <v>0</v>
      </c>
      <c r="F29" s="33">
        <f t="shared" si="0"/>
        <v>0</v>
      </c>
      <c r="G29" s="40"/>
      <c r="H29" s="46"/>
      <c r="I29" s="46"/>
      <c r="K29" s="46"/>
      <c r="L29" s="46"/>
    </row>
    <row r="30" spans="1:13" x14ac:dyDescent="0.2">
      <c r="A30" s="32" t="s">
        <v>32</v>
      </c>
      <c r="B30" s="46">
        <v>6602.8578870010024</v>
      </c>
      <c r="C30" s="46">
        <v>6550.4542529771852</v>
      </c>
      <c r="D30" s="50">
        <v>61</v>
      </c>
      <c r="E30" s="46">
        <v>400</v>
      </c>
      <c r="F30" s="33">
        <f t="shared" si="0"/>
        <v>10.886131069018072</v>
      </c>
      <c r="H30" s="46"/>
      <c r="I30" s="46"/>
      <c r="K30" s="46"/>
      <c r="L30" s="46"/>
    </row>
    <row r="31" spans="1:13" x14ac:dyDescent="0.2">
      <c r="A31" s="32" t="s">
        <v>33</v>
      </c>
      <c r="B31" s="46">
        <v>0</v>
      </c>
      <c r="C31" s="46">
        <v>0</v>
      </c>
      <c r="D31" s="50"/>
      <c r="E31" s="46">
        <v>0</v>
      </c>
      <c r="F31" s="33">
        <f t="shared" si="0"/>
        <v>0</v>
      </c>
      <c r="G31" s="40"/>
      <c r="H31" s="46"/>
      <c r="I31" s="46"/>
      <c r="K31" s="46"/>
      <c r="L31" s="46"/>
    </row>
    <row r="32" spans="1:13" x14ac:dyDescent="0.2">
      <c r="A32" s="32" t="s">
        <v>34</v>
      </c>
      <c r="B32" s="46">
        <v>7103.0743935919882</v>
      </c>
      <c r="C32" s="46">
        <v>7046.7007872936383</v>
      </c>
      <c r="D32" s="50">
        <v>63.1</v>
      </c>
      <c r="E32" s="46">
        <v>445</v>
      </c>
      <c r="F32" s="33">
        <f t="shared" si="0"/>
        <v>12.110820814282604</v>
      </c>
      <c r="H32" s="46"/>
      <c r="I32" s="46"/>
      <c r="K32" s="46"/>
      <c r="L32" s="46"/>
    </row>
    <row r="33" spans="1:13" x14ac:dyDescent="0.2">
      <c r="A33" s="32" t="s">
        <v>35</v>
      </c>
      <c r="B33" s="46">
        <v>11404.93635027446</v>
      </c>
      <c r="C33" s="46">
        <v>11314.420982415138</v>
      </c>
      <c r="D33" s="50">
        <v>74</v>
      </c>
      <c r="E33" s="46">
        <v>837</v>
      </c>
      <c r="F33" s="33">
        <f t="shared" si="0"/>
        <v>22.779229261920314</v>
      </c>
      <c r="H33" s="46"/>
      <c r="I33" s="46"/>
      <c r="K33" s="46"/>
      <c r="L33" s="46"/>
    </row>
    <row r="34" spans="1:13" x14ac:dyDescent="0.2">
      <c r="A34" s="32" t="s">
        <v>36</v>
      </c>
      <c r="B34" s="46">
        <v>3101.3423408641079</v>
      </c>
      <c r="C34" s="46">
        <v>3076.7285127620116</v>
      </c>
      <c r="D34" s="50">
        <v>78</v>
      </c>
      <c r="E34" s="46">
        <v>240</v>
      </c>
      <c r="F34" s="33">
        <f t="shared" si="0"/>
        <v>6.531678641410843</v>
      </c>
      <c r="H34" s="46"/>
      <c r="I34" s="46"/>
      <c r="K34" s="46"/>
      <c r="L34" s="46"/>
    </row>
    <row r="35" spans="1:13" s="17" customFormat="1" ht="15" x14ac:dyDescent="0.25">
      <c r="A35" s="34" t="s">
        <v>37</v>
      </c>
      <c r="B35" s="47">
        <v>61326.543708054778</v>
      </c>
      <c r="C35" s="47">
        <v>60839.825107197197</v>
      </c>
      <c r="D35" s="51">
        <v>71.236233706518306</v>
      </c>
      <c r="E35" s="47">
        <v>4334</v>
      </c>
      <c r="F35" s="37">
        <f t="shared" si="0"/>
        <v>117.95123013281081</v>
      </c>
      <c r="G35" s="23"/>
      <c r="H35" s="47"/>
      <c r="I35" s="47"/>
      <c r="K35" s="47"/>
      <c r="L35" s="46"/>
      <c r="M35" s="1"/>
    </row>
    <row r="36" spans="1:13" x14ac:dyDescent="0.2">
      <c r="A36" s="32" t="s">
        <v>38</v>
      </c>
      <c r="B36" s="46">
        <v>2000.8660263639404</v>
      </c>
      <c r="C36" s="46">
        <v>1984.986137265814</v>
      </c>
      <c r="D36" s="50">
        <v>65</v>
      </c>
      <c r="E36" s="46">
        <v>129</v>
      </c>
      <c r="F36" s="33">
        <f t="shared" si="0"/>
        <v>3.5107772697583277</v>
      </c>
      <c r="H36" s="46"/>
      <c r="I36" s="46"/>
      <c r="K36" s="46"/>
      <c r="L36" s="46"/>
    </row>
    <row r="37" spans="1:13" x14ac:dyDescent="0.2">
      <c r="A37" s="32" t="s">
        <v>39</v>
      </c>
      <c r="B37" s="46">
        <v>1600.6928210911522</v>
      </c>
      <c r="C37" s="46">
        <v>1587.9889098126509</v>
      </c>
      <c r="D37" s="50">
        <v>72</v>
      </c>
      <c r="E37" s="46">
        <v>114</v>
      </c>
      <c r="F37" s="33">
        <f t="shared" si="0"/>
        <v>3.1025473546701501</v>
      </c>
      <c r="H37" s="46"/>
      <c r="I37" s="46"/>
      <c r="K37" s="46"/>
      <c r="L37" s="46"/>
    </row>
    <row r="38" spans="1:13" x14ac:dyDescent="0.2">
      <c r="A38" s="32" t="s">
        <v>40</v>
      </c>
      <c r="B38" s="46">
        <v>2401.0392316367283</v>
      </c>
      <c r="C38" s="46">
        <v>2381.9833647189766</v>
      </c>
      <c r="D38" s="50">
        <v>65</v>
      </c>
      <c r="E38" s="46">
        <v>155</v>
      </c>
      <c r="F38" s="33">
        <f t="shared" si="0"/>
        <v>4.2183757892445026</v>
      </c>
      <c r="H38" s="46"/>
      <c r="I38" s="46"/>
      <c r="K38" s="46"/>
      <c r="L38" s="46"/>
    </row>
    <row r="39" spans="1:13" x14ac:dyDescent="0.2">
      <c r="A39" s="32" t="s">
        <v>41</v>
      </c>
      <c r="B39" s="46">
        <v>4501.9485593188656</v>
      </c>
      <c r="C39" s="46">
        <v>4466.2188088480816</v>
      </c>
      <c r="D39" s="50">
        <v>74</v>
      </c>
      <c r="E39" s="46">
        <v>331</v>
      </c>
      <c r="F39" s="33">
        <f t="shared" si="0"/>
        <v>9.0082734596124538</v>
      </c>
      <c r="H39" s="46"/>
      <c r="I39" s="46"/>
      <c r="K39" s="46"/>
      <c r="L39" s="46"/>
    </row>
    <row r="40" spans="1:13" x14ac:dyDescent="0.2">
      <c r="A40" s="32" t="s">
        <v>42</v>
      </c>
      <c r="B40" s="46">
        <v>3701.6021487732896</v>
      </c>
      <c r="C40" s="46">
        <v>3672.2243539417555</v>
      </c>
      <c r="D40" s="50">
        <v>92</v>
      </c>
      <c r="E40" s="46">
        <v>338</v>
      </c>
      <c r="F40" s="33">
        <f t="shared" si="0"/>
        <v>9.1987807533202695</v>
      </c>
      <c r="H40" s="46"/>
      <c r="I40" s="46"/>
      <c r="K40" s="46"/>
      <c r="L40" s="46"/>
    </row>
    <row r="41" spans="1:13" x14ac:dyDescent="0.2">
      <c r="A41" s="32" t="s">
        <v>43</v>
      </c>
      <c r="B41" s="46">
        <v>2100.9093276821372</v>
      </c>
      <c r="C41" s="46">
        <v>2084.2354441291045</v>
      </c>
      <c r="D41" s="50">
        <v>72</v>
      </c>
      <c r="E41" s="46">
        <v>150</v>
      </c>
      <c r="F41" s="33">
        <f t="shared" si="0"/>
        <v>4.0822991508817763</v>
      </c>
      <c r="H41" s="46"/>
      <c r="I41" s="46"/>
      <c r="K41" s="46"/>
      <c r="L41" s="46"/>
    </row>
    <row r="42" spans="1:13" x14ac:dyDescent="0.2">
      <c r="A42" s="32" t="s">
        <v>44</v>
      </c>
      <c r="B42" s="46">
        <v>800.34641054557608</v>
      </c>
      <c r="C42" s="46">
        <v>793.99445490632547</v>
      </c>
      <c r="D42" s="50">
        <v>72.5</v>
      </c>
      <c r="E42" s="46">
        <v>58</v>
      </c>
      <c r="F42" s="33">
        <f t="shared" si="0"/>
        <v>1.5784890050076203</v>
      </c>
      <c r="H42" s="46"/>
      <c r="I42" s="46"/>
      <c r="K42" s="46"/>
      <c r="L42" s="46"/>
    </row>
    <row r="43" spans="1:13" x14ac:dyDescent="0.2">
      <c r="A43" s="32" t="s">
        <v>45</v>
      </c>
      <c r="B43" s="46">
        <v>1900.8227250457433</v>
      </c>
      <c r="C43" s="46">
        <v>1885.7368304025231</v>
      </c>
      <c r="D43" s="50">
        <v>83</v>
      </c>
      <c r="E43" s="46">
        <v>157</v>
      </c>
      <c r="F43" s="33">
        <f t="shared" si="0"/>
        <v>4.2728064445895928</v>
      </c>
      <c r="H43" s="46"/>
      <c r="I43" s="46"/>
      <c r="K43" s="46"/>
      <c r="L43" s="46"/>
    </row>
    <row r="44" spans="1:13" s="17" customFormat="1" ht="15" x14ac:dyDescent="0.25">
      <c r="A44" s="34" t="s">
        <v>46</v>
      </c>
      <c r="B44" s="47">
        <v>19008.227250457428</v>
      </c>
      <c r="C44" s="47">
        <v>18857.368304025229</v>
      </c>
      <c r="D44" s="51">
        <v>75.938486055571715</v>
      </c>
      <c r="E44" s="47">
        <v>1432</v>
      </c>
      <c r="F44" s="37">
        <f t="shared" si="0"/>
        <v>38.972349227084692</v>
      </c>
      <c r="G44" s="23"/>
      <c r="H44" s="47"/>
      <c r="I44" s="47"/>
      <c r="K44" s="47"/>
      <c r="L44" s="46"/>
      <c r="M44" s="1"/>
    </row>
    <row r="45" spans="1:13" x14ac:dyDescent="0.2">
      <c r="A45" s="32" t="s">
        <v>47</v>
      </c>
      <c r="B45" s="46">
        <v>0</v>
      </c>
      <c r="C45" s="46">
        <v>0</v>
      </c>
      <c r="D45" s="46">
        <v>0</v>
      </c>
      <c r="E45" s="46">
        <v>0</v>
      </c>
      <c r="F45" s="46">
        <f t="shared" si="0"/>
        <v>0</v>
      </c>
      <c r="H45" s="46"/>
      <c r="I45" s="46"/>
      <c r="K45" s="46"/>
      <c r="L45" s="46"/>
    </row>
    <row r="46" spans="1:13" x14ac:dyDescent="0.2">
      <c r="A46" s="32" t="s">
        <v>48</v>
      </c>
      <c r="B46" s="46">
        <v>0</v>
      </c>
      <c r="C46" s="46">
        <v>0</v>
      </c>
      <c r="D46" s="46">
        <v>0</v>
      </c>
      <c r="E46" s="46">
        <v>0</v>
      </c>
      <c r="F46" s="46">
        <f t="shared" si="0"/>
        <v>0</v>
      </c>
      <c r="H46" s="46"/>
      <c r="I46" s="46"/>
      <c r="K46" s="46"/>
      <c r="L46" s="46"/>
    </row>
    <row r="47" spans="1:13" x14ac:dyDescent="0.2">
      <c r="A47" s="35" t="s">
        <v>49</v>
      </c>
      <c r="B47" s="46">
        <v>0</v>
      </c>
      <c r="C47" s="46">
        <v>0</v>
      </c>
      <c r="D47" s="46">
        <v>0</v>
      </c>
      <c r="E47" s="46">
        <v>0</v>
      </c>
      <c r="F47" s="46">
        <f t="shared" si="0"/>
        <v>0</v>
      </c>
      <c r="G47" s="24"/>
      <c r="H47" s="46"/>
      <c r="I47" s="46"/>
      <c r="K47" s="46"/>
      <c r="L47" s="46"/>
    </row>
    <row r="48" spans="1:13" x14ac:dyDescent="0.2">
      <c r="A48" s="32" t="s">
        <v>50</v>
      </c>
      <c r="B48" s="46">
        <v>0</v>
      </c>
      <c r="C48" s="46">
        <v>0</v>
      </c>
      <c r="D48" s="46">
        <v>0</v>
      </c>
      <c r="E48" s="46">
        <v>0</v>
      </c>
      <c r="F48" s="46">
        <f t="shared" si="0"/>
        <v>0</v>
      </c>
      <c r="H48" s="46"/>
      <c r="I48" s="46"/>
      <c r="K48" s="46"/>
      <c r="L48" s="46"/>
    </row>
    <row r="49" spans="1:13" x14ac:dyDescent="0.2">
      <c r="A49" s="32" t="s">
        <v>51</v>
      </c>
      <c r="B49" s="46">
        <v>0</v>
      </c>
      <c r="C49" s="46">
        <v>0</v>
      </c>
      <c r="D49" s="46">
        <v>0</v>
      </c>
      <c r="E49" s="46">
        <v>0</v>
      </c>
      <c r="F49" s="46">
        <f t="shared" si="0"/>
        <v>0</v>
      </c>
      <c r="H49" s="46"/>
      <c r="I49" s="46"/>
      <c r="K49" s="46"/>
      <c r="L49" s="46"/>
    </row>
    <row r="50" spans="1:13" x14ac:dyDescent="0.2">
      <c r="A50" s="32" t="s">
        <v>52</v>
      </c>
      <c r="B50" s="46">
        <v>0</v>
      </c>
      <c r="C50" s="46">
        <v>0</v>
      </c>
      <c r="D50" s="46">
        <v>0</v>
      </c>
      <c r="E50" s="46">
        <v>0</v>
      </c>
      <c r="F50" s="46">
        <f t="shared" si="0"/>
        <v>0</v>
      </c>
      <c r="H50" s="46"/>
      <c r="I50" s="46"/>
      <c r="K50" s="46"/>
      <c r="L50" s="46"/>
    </row>
    <row r="51" spans="1:13" x14ac:dyDescent="0.2">
      <c r="A51" s="32" t="s">
        <v>53</v>
      </c>
      <c r="B51" s="46">
        <v>0</v>
      </c>
      <c r="C51" s="46">
        <v>0</v>
      </c>
      <c r="D51" s="46">
        <v>0</v>
      </c>
      <c r="E51" s="46">
        <v>0</v>
      </c>
      <c r="F51" s="46">
        <f t="shared" si="0"/>
        <v>0</v>
      </c>
      <c r="H51" s="46"/>
      <c r="I51" s="46"/>
      <c r="K51" s="46"/>
      <c r="L51" s="46"/>
    </row>
    <row r="52" spans="1:13" x14ac:dyDescent="0.2">
      <c r="A52" s="32" t="s">
        <v>54</v>
      </c>
      <c r="B52" s="46">
        <v>0</v>
      </c>
      <c r="C52" s="46">
        <v>0</v>
      </c>
      <c r="D52" s="46">
        <v>0</v>
      </c>
      <c r="E52" s="46">
        <v>0</v>
      </c>
      <c r="F52" s="46">
        <f t="shared" si="0"/>
        <v>0</v>
      </c>
      <c r="H52" s="46"/>
      <c r="I52" s="46"/>
      <c r="K52" s="46"/>
      <c r="L52" s="46"/>
    </row>
    <row r="53" spans="1:13" x14ac:dyDescent="0.2">
      <c r="A53" s="32" t="s">
        <v>55</v>
      </c>
      <c r="B53" s="46">
        <v>0</v>
      </c>
      <c r="C53" s="46">
        <v>0</v>
      </c>
      <c r="D53" s="46">
        <v>0</v>
      </c>
      <c r="E53" s="46">
        <v>0</v>
      </c>
      <c r="F53" s="46">
        <f t="shared" si="0"/>
        <v>0</v>
      </c>
      <c r="H53" s="46"/>
      <c r="I53" s="46"/>
      <c r="K53" s="46"/>
      <c r="L53" s="46"/>
    </row>
    <row r="54" spans="1:13" x14ac:dyDescent="0.2">
      <c r="A54" s="32" t="s">
        <v>56</v>
      </c>
      <c r="B54" s="46">
        <v>0</v>
      </c>
      <c r="C54" s="46">
        <v>0</v>
      </c>
      <c r="D54" s="46">
        <v>0</v>
      </c>
      <c r="E54" s="46">
        <v>0</v>
      </c>
      <c r="F54" s="46">
        <f t="shared" si="0"/>
        <v>0</v>
      </c>
      <c r="H54" s="46"/>
      <c r="I54" s="46"/>
      <c r="K54" s="46"/>
      <c r="L54" s="46"/>
    </row>
    <row r="55" spans="1:13" s="17" customFormat="1" ht="15" x14ac:dyDescent="0.25">
      <c r="A55" s="34" t="s">
        <v>57</v>
      </c>
      <c r="B55" s="47">
        <v>1100.4763145001671</v>
      </c>
      <c r="C55" s="47">
        <v>1091.74</v>
      </c>
      <c r="D55" s="51">
        <v>61</v>
      </c>
      <c r="E55" s="47">
        <v>67</v>
      </c>
      <c r="F55" s="37">
        <f t="shared" si="0"/>
        <v>1.8234269540605268</v>
      </c>
      <c r="G55" s="23"/>
      <c r="H55" s="47"/>
      <c r="I55" s="47"/>
      <c r="K55" s="47"/>
      <c r="L55" s="46"/>
      <c r="M55" s="1"/>
    </row>
    <row r="56" spans="1:13" s="17" customFormat="1" ht="15.75" thickBot="1" x14ac:dyDescent="0.3">
      <c r="A56" s="36" t="s">
        <v>0</v>
      </c>
      <c r="B56" s="47">
        <v>630000</v>
      </c>
      <c r="C56" s="47">
        <v>624999.9976245038</v>
      </c>
      <c r="D56" s="51">
        <v>78.400000297982245</v>
      </c>
      <c r="E56" s="47">
        <v>49000</v>
      </c>
      <c r="F56" s="37">
        <f t="shared" si="0"/>
        <v>1333.5510559547138</v>
      </c>
      <c r="H56" s="47"/>
      <c r="I56" s="47"/>
      <c r="K56" s="47"/>
      <c r="L56" s="46"/>
      <c r="M56" s="1"/>
    </row>
    <row r="57" spans="1:13" s="22" customFormat="1" x14ac:dyDescent="0.2">
      <c r="A57" s="20"/>
      <c r="B57" s="20"/>
      <c r="C57" s="16"/>
      <c r="D57" s="20"/>
      <c r="E57" s="15"/>
      <c r="F57" s="21"/>
      <c r="G57" s="20"/>
    </row>
    <row r="58" spans="1:13" ht="15" x14ac:dyDescent="0.2">
      <c r="A58" t="s">
        <v>66</v>
      </c>
      <c r="B58" s="6"/>
      <c r="C58" s="6"/>
      <c r="D58" s="8"/>
      <c r="E58" s="12"/>
      <c r="F58" s="14"/>
      <c r="G58" s="3"/>
    </row>
    <row r="59" spans="1:13" ht="15" x14ac:dyDescent="0.25">
      <c r="A59" s="17" t="s">
        <v>60</v>
      </c>
      <c r="B59" s="6"/>
      <c r="C59" s="6"/>
      <c r="D59" s="8"/>
      <c r="E59" s="6"/>
      <c r="F59" s="7"/>
      <c r="G59" s="3"/>
    </row>
    <row r="60" spans="1:13" x14ac:dyDescent="0.2">
      <c r="A60" s="41" t="s">
        <v>67</v>
      </c>
      <c r="B60" s="6"/>
      <c r="C60" s="6"/>
      <c r="D60" s="8"/>
      <c r="E60" s="6"/>
      <c r="F60" s="7"/>
      <c r="G60" s="3"/>
    </row>
    <row r="61" spans="1:13" x14ac:dyDescent="0.2">
      <c r="A61" s="3"/>
      <c r="B61" s="6"/>
      <c r="C61" s="6"/>
      <c r="D61" s="8"/>
      <c r="E61" s="6"/>
      <c r="F61" s="7"/>
      <c r="G61" s="3"/>
    </row>
    <row r="62" spans="1:13" x14ac:dyDescent="0.2">
      <c r="A62" s="3"/>
      <c r="B62" s="6"/>
      <c r="C62" s="6"/>
      <c r="D62" s="8"/>
      <c r="E62" s="6"/>
      <c r="F62" s="7"/>
      <c r="G62" s="3"/>
    </row>
    <row r="63" spans="1:13" x14ac:dyDescent="0.2">
      <c r="A63" s="3"/>
      <c r="B63" s="6"/>
      <c r="C63" s="6"/>
      <c r="D63" s="8"/>
      <c r="E63" s="6"/>
      <c r="F63" s="7"/>
      <c r="G63" s="3"/>
    </row>
    <row r="64" spans="1:13" x14ac:dyDescent="0.2">
      <c r="A64" s="3"/>
      <c r="B64" s="6"/>
      <c r="C64" s="6"/>
      <c r="D64" s="8"/>
      <c r="E64" s="6"/>
      <c r="F64" s="7"/>
      <c r="G64" s="3"/>
    </row>
    <row r="65" spans="1:7" x14ac:dyDescent="0.2">
      <c r="A65" s="3"/>
      <c r="B65" s="6"/>
      <c r="C65" s="6"/>
      <c r="D65" s="8"/>
      <c r="E65" s="6"/>
      <c r="F65" s="7"/>
      <c r="G65" s="3"/>
    </row>
    <row r="66" spans="1:7" x14ac:dyDescent="0.2">
      <c r="A66" s="3"/>
      <c r="B66" s="6"/>
      <c r="C66" s="6"/>
      <c r="D66" s="8"/>
      <c r="E66" s="6"/>
      <c r="F66" s="7"/>
      <c r="G66" s="3"/>
    </row>
    <row r="67" spans="1:7" x14ac:dyDescent="0.2">
      <c r="A67" s="3"/>
      <c r="B67" s="6"/>
      <c r="C67" s="6"/>
      <c r="D67" s="8"/>
      <c r="E67" s="6"/>
      <c r="F67" s="7"/>
      <c r="G67" s="3"/>
    </row>
    <row r="68" spans="1:7" x14ac:dyDescent="0.2">
      <c r="A68" s="3"/>
      <c r="B68" s="3"/>
      <c r="C68" s="3"/>
      <c r="D68" s="3"/>
      <c r="E68" s="6"/>
      <c r="F68" s="7"/>
      <c r="G68" s="3"/>
    </row>
    <row r="69" spans="1:7" x14ac:dyDescent="0.2">
      <c r="A69" s="3"/>
      <c r="B69" s="3"/>
      <c r="C69" s="3"/>
      <c r="D69" s="3"/>
      <c r="E69" s="6"/>
      <c r="F69" s="7"/>
      <c r="G69" s="3"/>
    </row>
    <row r="70" spans="1:7" x14ac:dyDescent="0.2">
      <c r="A70" s="3"/>
      <c r="B70" s="3"/>
      <c r="C70" s="3"/>
      <c r="D70" s="3"/>
      <c r="E70" s="6"/>
      <c r="F70" s="7"/>
      <c r="G70" s="3"/>
    </row>
    <row r="71" spans="1:7" x14ac:dyDescent="0.2">
      <c r="A71" s="3"/>
      <c r="B71" s="3"/>
      <c r="C71" s="3"/>
      <c r="D71" s="3"/>
      <c r="E71" s="6"/>
      <c r="F71" s="7"/>
      <c r="G71" s="3"/>
    </row>
    <row r="72" spans="1:7" x14ac:dyDescent="0.2">
      <c r="A72" s="3"/>
      <c r="B72" s="3"/>
      <c r="C72" s="3"/>
      <c r="D72" s="3"/>
      <c r="E72" s="3"/>
      <c r="F72" s="3"/>
      <c r="G72" s="3"/>
    </row>
    <row r="73" spans="1:7" x14ac:dyDescent="0.2">
      <c r="A73" s="3"/>
      <c r="B73" s="3"/>
      <c r="C73" s="3"/>
      <c r="D73" s="3"/>
      <c r="E73" s="3"/>
      <c r="F73" s="3"/>
      <c r="G73" s="3"/>
    </row>
    <row r="74" spans="1:7" x14ac:dyDescent="0.2">
      <c r="A74" s="3"/>
      <c r="B74" s="3"/>
      <c r="C74" s="3"/>
      <c r="D74" s="3"/>
      <c r="E74" s="3"/>
      <c r="F74" s="3"/>
      <c r="G74" s="3"/>
    </row>
    <row r="75" spans="1:7" x14ac:dyDescent="0.2">
      <c r="A75" s="3"/>
      <c r="B75" s="3"/>
      <c r="C75" s="3"/>
      <c r="D75" s="3"/>
      <c r="E75" s="3"/>
      <c r="F75" s="3"/>
      <c r="G75" s="3"/>
    </row>
    <row r="76" spans="1:7" x14ac:dyDescent="0.2">
      <c r="A76" s="3"/>
      <c r="B76" s="3"/>
      <c r="C76" s="3"/>
      <c r="D76" s="3"/>
      <c r="E76" s="3"/>
      <c r="F76" s="3"/>
      <c r="G76" s="3"/>
    </row>
    <row r="77" spans="1:7" x14ac:dyDescent="0.2">
      <c r="A77" s="3"/>
      <c r="B77" s="3"/>
      <c r="C77" s="3"/>
      <c r="D77" s="3"/>
      <c r="E77" s="3"/>
      <c r="F77" s="3"/>
      <c r="G77" s="3"/>
    </row>
    <row r="78" spans="1:7" x14ac:dyDescent="0.2">
      <c r="A78" s="3"/>
      <c r="E78" s="3"/>
      <c r="F78" s="3"/>
      <c r="G78" s="3"/>
    </row>
    <row r="79" spans="1:7" x14ac:dyDescent="0.2">
      <c r="A79" s="3"/>
      <c r="E79" s="3"/>
      <c r="F79" s="3"/>
      <c r="G79" s="3"/>
    </row>
    <row r="80" spans="1:7" x14ac:dyDescent="0.2">
      <c r="A80" s="3"/>
      <c r="E80" s="3"/>
      <c r="F80" s="3"/>
      <c r="G80" s="3"/>
    </row>
    <row r="81" spans="1:7" x14ac:dyDescent="0.2">
      <c r="A81" s="3"/>
      <c r="E81" s="3"/>
      <c r="F81" s="3"/>
      <c r="G81" s="3"/>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1"/>
  <sheetViews>
    <sheetView workbookViewId="0">
      <selection activeCell="J12" sqref="J12"/>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6384" width="9.77734375" style="1"/>
  </cols>
  <sheetData>
    <row r="1" spans="1:7" ht="15.75" thickBot="1" x14ac:dyDescent="0.3">
      <c r="A1" s="48" t="s">
        <v>68</v>
      </c>
      <c r="B1" s="49"/>
      <c r="C1" s="49"/>
      <c r="D1" s="49"/>
      <c r="E1" s="49"/>
      <c r="F1" s="49"/>
      <c r="G1" s="3"/>
    </row>
    <row r="2" spans="1:7" ht="47.25" customHeight="1" thickBot="1" x14ac:dyDescent="0.3">
      <c r="A2" s="28"/>
      <c r="B2" s="39" t="s">
        <v>59</v>
      </c>
      <c r="C2" s="29" t="s">
        <v>2</v>
      </c>
      <c r="D2" s="30" t="s">
        <v>3</v>
      </c>
      <c r="E2" s="29" t="s">
        <v>4</v>
      </c>
      <c r="F2" s="31" t="s">
        <v>1</v>
      </c>
      <c r="G2" s="3"/>
    </row>
    <row r="3" spans="1:7" x14ac:dyDescent="0.2">
      <c r="A3" s="32" t="s">
        <v>5</v>
      </c>
      <c r="B3" s="46">
        <v>13132.271117855336</v>
      </c>
      <c r="C3" s="44">
        <v>13132.271117855336</v>
      </c>
      <c r="D3" s="42">
        <v>62</v>
      </c>
      <c r="E3" s="44">
        <v>814</v>
      </c>
      <c r="F3" s="33">
        <f>+E3/36.744</f>
        <v>22.153276725451775</v>
      </c>
      <c r="G3" s="16"/>
    </row>
    <row r="4" spans="1:7" x14ac:dyDescent="0.2">
      <c r="A4" s="32" t="s">
        <v>6</v>
      </c>
      <c r="B4" s="46">
        <v>46648.963075366715</v>
      </c>
      <c r="C4" s="44">
        <v>46648.963075366715</v>
      </c>
      <c r="D4" s="42">
        <v>86.7</v>
      </c>
      <c r="E4" s="44">
        <v>4044</v>
      </c>
      <c r="F4" s="33">
        <f t="shared" ref="F4:F56" si="0">+E4/36.744</f>
        <v>110.05878510777269</v>
      </c>
      <c r="G4" s="16"/>
    </row>
    <row r="5" spans="1:7" x14ac:dyDescent="0.2">
      <c r="A5" s="32" t="s">
        <v>7</v>
      </c>
      <c r="B5" s="46">
        <v>23030.475467880628</v>
      </c>
      <c r="C5" s="44">
        <v>23030.475467880628</v>
      </c>
      <c r="D5" s="42">
        <v>86</v>
      </c>
      <c r="E5" s="44">
        <v>1981</v>
      </c>
      <c r="F5" s="33">
        <f t="shared" si="0"/>
        <v>53.913564119311999</v>
      </c>
    </row>
    <row r="6" spans="1:7" x14ac:dyDescent="0.2">
      <c r="A6" s="32" t="s">
        <v>8</v>
      </c>
      <c r="B6" s="46">
        <v>36260.748609003538</v>
      </c>
      <c r="C6" s="44">
        <v>36260.748609003538</v>
      </c>
      <c r="D6" s="42">
        <v>83</v>
      </c>
      <c r="E6" s="44">
        <v>3010</v>
      </c>
      <c r="F6" s="33">
        <f t="shared" si="0"/>
        <v>81.918136294360991</v>
      </c>
    </row>
    <row r="7" spans="1:7" x14ac:dyDescent="0.2">
      <c r="A7" s="32" t="s">
        <v>9</v>
      </c>
      <c r="B7" s="46">
        <v>27440.566514921597</v>
      </c>
      <c r="C7" s="44">
        <v>27440.566514921597</v>
      </c>
      <c r="D7" s="42">
        <v>68</v>
      </c>
      <c r="E7" s="44">
        <v>1866</v>
      </c>
      <c r="F7" s="33">
        <f t="shared" si="0"/>
        <v>50.783801436969298</v>
      </c>
    </row>
    <row r="8" spans="1:7" x14ac:dyDescent="0.2">
      <c r="A8" s="32" t="s">
        <v>10</v>
      </c>
      <c r="B8" s="46">
        <v>14308.295397066264</v>
      </c>
      <c r="C8" s="44">
        <v>14308.295397066264</v>
      </c>
      <c r="D8" s="42">
        <v>66</v>
      </c>
      <c r="E8" s="44">
        <v>944</v>
      </c>
      <c r="F8" s="33">
        <f t="shared" si="0"/>
        <v>25.691269322882647</v>
      </c>
    </row>
    <row r="9" spans="1:7" x14ac:dyDescent="0.2">
      <c r="A9" s="32" t="s">
        <v>11</v>
      </c>
      <c r="B9" s="46">
        <v>65661.355589276674</v>
      </c>
      <c r="C9" s="44">
        <v>65661.355589276674</v>
      </c>
      <c r="D9" s="42">
        <v>78</v>
      </c>
      <c r="E9" s="44">
        <v>5122</v>
      </c>
      <c r="F9" s="33">
        <f t="shared" si="0"/>
        <v>139.3969083387764</v>
      </c>
    </row>
    <row r="10" spans="1:7" x14ac:dyDescent="0.2">
      <c r="A10" s="32" t="s">
        <v>12</v>
      </c>
      <c r="B10" s="46">
        <v>58801.21396054628</v>
      </c>
      <c r="C10" s="44">
        <v>58801.21396054628</v>
      </c>
      <c r="D10" s="42">
        <v>81</v>
      </c>
      <c r="E10" s="44">
        <v>4763</v>
      </c>
      <c r="F10" s="33">
        <f t="shared" si="0"/>
        <v>129.62660570433269</v>
      </c>
    </row>
    <row r="11" spans="1:7" x14ac:dyDescent="0.2">
      <c r="A11" s="32" t="s">
        <v>13</v>
      </c>
      <c r="B11" s="46">
        <v>12250.252908447143</v>
      </c>
      <c r="C11" s="44">
        <v>12250.252908447143</v>
      </c>
      <c r="D11" s="42">
        <v>65</v>
      </c>
      <c r="E11" s="44">
        <v>796</v>
      </c>
      <c r="F11" s="33">
        <f t="shared" si="0"/>
        <v>21.66340082734596</v>
      </c>
    </row>
    <row r="12" spans="1:7" x14ac:dyDescent="0.2">
      <c r="A12" s="32" t="s">
        <v>14</v>
      </c>
      <c r="B12" s="46">
        <v>28028.57865452706</v>
      </c>
      <c r="C12" s="44">
        <v>28028.57865452706</v>
      </c>
      <c r="D12" s="42">
        <v>84</v>
      </c>
      <c r="E12" s="44">
        <v>2354</v>
      </c>
      <c r="F12" s="33">
        <f t="shared" si="0"/>
        <v>64.064881341171343</v>
      </c>
    </row>
    <row r="13" spans="1:7" s="17" customFormat="1" ht="15" x14ac:dyDescent="0.25">
      <c r="A13" s="34" t="s">
        <v>15</v>
      </c>
      <c r="B13" s="47">
        <v>325562.72129489121</v>
      </c>
      <c r="C13" s="45">
        <v>325562.72129489121</v>
      </c>
      <c r="D13" s="43">
        <v>78.921812355557293</v>
      </c>
      <c r="E13" s="45">
        <v>25694</v>
      </c>
      <c r="F13" s="37">
        <f t="shared" si="0"/>
        <v>699.2706292183758</v>
      </c>
      <c r="G13" s="23"/>
    </row>
    <row r="14" spans="1:7" x14ac:dyDescent="0.2">
      <c r="A14" s="32" t="s">
        <v>16</v>
      </c>
      <c r="B14" s="46">
        <v>40670.839656044511</v>
      </c>
      <c r="C14" s="44">
        <v>40670.839656044511</v>
      </c>
      <c r="D14" s="42">
        <v>75</v>
      </c>
      <c r="E14" s="44">
        <v>3050</v>
      </c>
      <c r="F14" s="33">
        <f t="shared" si="0"/>
        <v>83.006749401262795</v>
      </c>
    </row>
    <row r="15" spans="1:7" x14ac:dyDescent="0.2">
      <c r="A15" s="32" t="s">
        <v>17</v>
      </c>
      <c r="B15" s="46">
        <v>10094.208396560445</v>
      </c>
      <c r="C15" s="44">
        <v>10094.208396560445</v>
      </c>
      <c r="D15" s="42">
        <v>76</v>
      </c>
      <c r="E15" s="44">
        <v>767</v>
      </c>
      <c r="F15" s="33">
        <f t="shared" si="0"/>
        <v>20.874156324842151</v>
      </c>
    </row>
    <row r="16" spans="1:7" x14ac:dyDescent="0.2">
      <c r="A16" s="32" t="s">
        <v>18</v>
      </c>
      <c r="B16" s="46">
        <v>17248.356095093575</v>
      </c>
      <c r="C16" s="44">
        <v>17248.356095093575</v>
      </c>
      <c r="D16" s="42">
        <v>65</v>
      </c>
      <c r="E16" s="44">
        <v>1121</v>
      </c>
      <c r="F16" s="33">
        <f t="shared" si="0"/>
        <v>30.508382320923143</v>
      </c>
    </row>
    <row r="17" spans="1:7" x14ac:dyDescent="0.2">
      <c r="A17" s="32" t="s">
        <v>19</v>
      </c>
      <c r="B17" s="46">
        <v>2842.0586747597372</v>
      </c>
      <c r="C17" s="44">
        <v>2842.0586747597372</v>
      </c>
      <c r="D17" s="42">
        <v>62</v>
      </c>
      <c r="E17" s="44">
        <v>176</v>
      </c>
      <c r="F17" s="33">
        <f t="shared" si="0"/>
        <v>4.7898976703679512</v>
      </c>
    </row>
    <row r="18" spans="1:7" x14ac:dyDescent="0.2">
      <c r="A18" s="32" t="s">
        <v>20</v>
      </c>
      <c r="B18" s="46">
        <v>65661.355589276674</v>
      </c>
      <c r="C18" s="44">
        <v>65661.355589276674</v>
      </c>
      <c r="D18" s="42">
        <v>75</v>
      </c>
      <c r="E18" s="44">
        <v>4925</v>
      </c>
      <c r="F18" s="33">
        <f t="shared" si="0"/>
        <v>134.035488787285</v>
      </c>
    </row>
    <row r="19" spans="1:7" x14ac:dyDescent="0.2">
      <c r="A19" s="32" t="s">
        <v>21</v>
      </c>
      <c r="B19" s="46">
        <v>4900.1011633788567</v>
      </c>
      <c r="C19" s="44">
        <v>4900.1011633788567</v>
      </c>
      <c r="D19" s="42">
        <v>73</v>
      </c>
      <c r="E19" s="44">
        <v>358</v>
      </c>
      <c r="F19" s="33">
        <f t="shared" si="0"/>
        <v>9.743087306771173</v>
      </c>
    </row>
    <row r="20" spans="1:7" x14ac:dyDescent="0.2">
      <c r="A20" s="32" t="s">
        <v>22</v>
      </c>
      <c r="B20" s="46">
        <v>73795.523520485585</v>
      </c>
      <c r="C20" s="44">
        <v>73795.523520485585</v>
      </c>
      <c r="D20" s="42">
        <v>80</v>
      </c>
      <c r="E20" s="44">
        <v>5904</v>
      </c>
      <c r="F20" s="33">
        <f t="shared" si="0"/>
        <v>160.67929457870673</v>
      </c>
    </row>
    <row r="21" spans="1:7" x14ac:dyDescent="0.2">
      <c r="A21" s="32" t="s">
        <v>23</v>
      </c>
      <c r="B21" s="46">
        <v>43806.904400606982</v>
      </c>
      <c r="C21" s="44">
        <v>43806.904400606982</v>
      </c>
      <c r="D21" s="42">
        <v>78.7</v>
      </c>
      <c r="E21" s="44">
        <v>3448</v>
      </c>
      <c r="F21" s="33">
        <f t="shared" si="0"/>
        <v>93.838449814935771</v>
      </c>
    </row>
    <row r="22" spans="1:7" x14ac:dyDescent="0.2">
      <c r="A22" s="32" t="s">
        <v>24</v>
      </c>
      <c r="B22" s="46">
        <v>17934.370257966613</v>
      </c>
      <c r="C22" s="44">
        <v>17934.370257966613</v>
      </c>
      <c r="D22" s="42">
        <v>79</v>
      </c>
      <c r="E22" s="44">
        <v>1417</v>
      </c>
      <c r="F22" s="33">
        <f t="shared" si="0"/>
        <v>38.564119311996514</v>
      </c>
    </row>
    <row r="23" spans="1:7" x14ac:dyDescent="0.2">
      <c r="A23" s="32" t="s">
        <v>25</v>
      </c>
      <c r="B23" s="46">
        <v>51745.068285280722</v>
      </c>
      <c r="C23" s="44">
        <v>51745.068285280722</v>
      </c>
      <c r="D23" s="42">
        <v>83</v>
      </c>
      <c r="E23" s="44">
        <v>4295</v>
      </c>
      <c r="F23" s="33">
        <f t="shared" si="0"/>
        <v>116.88983235358154</v>
      </c>
    </row>
    <row r="24" spans="1:7" s="17" customFormat="1" ht="15" x14ac:dyDescent="0.25">
      <c r="A24" s="34" t="s">
        <v>26</v>
      </c>
      <c r="B24" s="47">
        <v>328698.7860394537</v>
      </c>
      <c r="C24" s="45">
        <v>328698.7860394537</v>
      </c>
      <c r="D24" s="43">
        <v>77.45997576317157</v>
      </c>
      <c r="E24" s="45">
        <v>25461</v>
      </c>
      <c r="F24" s="37">
        <f t="shared" si="0"/>
        <v>692.92945787067276</v>
      </c>
      <c r="G24" s="23"/>
    </row>
    <row r="25" spans="1:7" x14ac:dyDescent="0.2">
      <c r="A25" s="32" t="s">
        <v>27</v>
      </c>
      <c r="B25" s="46">
        <v>15778.325746079918</v>
      </c>
      <c r="C25" s="44">
        <v>15778.3</v>
      </c>
      <c r="D25" s="42">
        <v>76.7</v>
      </c>
      <c r="E25" s="44">
        <v>1210</v>
      </c>
      <c r="F25" s="33">
        <f t="shared" si="0"/>
        <v>32.930546483779665</v>
      </c>
    </row>
    <row r="26" spans="1:7" x14ac:dyDescent="0.2">
      <c r="A26" s="32" t="s">
        <v>28</v>
      </c>
      <c r="B26" s="44">
        <v>0</v>
      </c>
      <c r="C26" s="44">
        <v>0</v>
      </c>
      <c r="D26" s="44">
        <v>0</v>
      </c>
      <c r="E26" s="44">
        <v>0</v>
      </c>
      <c r="F26" s="44">
        <v>0</v>
      </c>
      <c r="G26" s="40"/>
    </row>
    <row r="27" spans="1:7" x14ac:dyDescent="0.2">
      <c r="A27" s="32" t="s">
        <v>29</v>
      </c>
      <c r="B27" s="46">
        <v>2058.0424886191199</v>
      </c>
      <c r="C27" s="44">
        <v>2058</v>
      </c>
      <c r="D27" s="42">
        <v>72.7</v>
      </c>
      <c r="E27" s="44">
        <v>150</v>
      </c>
      <c r="F27" s="42">
        <f t="shared" si="0"/>
        <v>4.0822991508817763</v>
      </c>
    </row>
    <row r="28" spans="1:7" x14ac:dyDescent="0.2">
      <c r="A28" s="32" t="s">
        <v>30</v>
      </c>
      <c r="B28" s="46">
        <v>10388.214466363177</v>
      </c>
      <c r="C28" s="44">
        <v>10388.200000000001</v>
      </c>
      <c r="D28" s="42">
        <v>68</v>
      </c>
      <c r="E28" s="44">
        <v>706</v>
      </c>
      <c r="F28" s="33">
        <f t="shared" si="0"/>
        <v>19.214021336816895</v>
      </c>
    </row>
    <row r="29" spans="1:7" x14ac:dyDescent="0.2">
      <c r="A29" s="32" t="s">
        <v>31</v>
      </c>
      <c r="B29" s="44">
        <v>0</v>
      </c>
      <c r="C29" s="44">
        <v>0</v>
      </c>
      <c r="D29" s="44">
        <v>0</v>
      </c>
      <c r="E29" s="44">
        <v>0</v>
      </c>
      <c r="F29" s="44">
        <v>0</v>
      </c>
      <c r="G29" s="40"/>
    </row>
    <row r="30" spans="1:7" x14ac:dyDescent="0.2">
      <c r="A30" s="32" t="s">
        <v>32</v>
      </c>
      <c r="B30" s="46">
        <v>8428.1740010116337</v>
      </c>
      <c r="C30" s="44">
        <v>8428.2000000000007</v>
      </c>
      <c r="D30" s="42">
        <v>70</v>
      </c>
      <c r="E30" s="44">
        <v>590</v>
      </c>
      <c r="F30" s="42">
        <f t="shared" si="0"/>
        <v>16.057043326801654</v>
      </c>
    </row>
    <row r="31" spans="1:7" x14ac:dyDescent="0.2">
      <c r="A31" s="32" t="s">
        <v>33</v>
      </c>
      <c r="B31" s="44">
        <v>0</v>
      </c>
      <c r="C31" s="44">
        <v>0</v>
      </c>
      <c r="D31" s="44">
        <v>0</v>
      </c>
      <c r="E31" s="44">
        <v>0</v>
      </c>
      <c r="F31" s="44">
        <v>0</v>
      </c>
      <c r="G31" s="40"/>
    </row>
    <row r="32" spans="1:7" x14ac:dyDescent="0.2">
      <c r="A32" s="32" t="s">
        <v>34</v>
      </c>
      <c r="B32" s="46">
        <v>9800.2023267577133</v>
      </c>
      <c r="C32" s="44">
        <v>9800.2000000000007</v>
      </c>
      <c r="D32" s="42">
        <v>63.1</v>
      </c>
      <c r="E32" s="44">
        <v>618</v>
      </c>
      <c r="F32" s="42">
        <f t="shared" si="0"/>
        <v>16.81907250163292</v>
      </c>
    </row>
    <row r="33" spans="1:7" x14ac:dyDescent="0.2">
      <c r="A33" s="32" t="s">
        <v>35</v>
      </c>
      <c r="B33" s="46">
        <v>15190.313606474456</v>
      </c>
      <c r="C33" s="44">
        <v>15190.3</v>
      </c>
      <c r="D33" s="42">
        <v>74</v>
      </c>
      <c r="E33" s="44">
        <v>1124</v>
      </c>
      <c r="F33" s="42">
        <f t="shared" si="0"/>
        <v>30.59002830394078</v>
      </c>
    </row>
    <row r="34" spans="1:7" x14ac:dyDescent="0.2">
      <c r="A34" s="32" t="s">
        <v>36</v>
      </c>
      <c r="B34" s="46">
        <v>5880.1213960546283</v>
      </c>
      <c r="C34" s="44">
        <v>5880.1</v>
      </c>
      <c r="D34" s="42">
        <v>78</v>
      </c>
      <c r="E34" s="44">
        <v>459</v>
      </c>
      <c r="F34" s="42">
        <f t="shared" si="0"/>
        <v>12.491835401698237</v>
      </c>
    </row>
    <row r="35" spans="1:7" s="17" customFormat="1" ht="15" x14ac:dyDescent="0.25">
      <c r="A35" s="34" t="s">
        <v>37</v>
      </c>
      <c r="B35" s="47">
        <v>67523.394031360644</v>
      </c>
      <c r="C35" s="45">
        <v>67523.3</v>
      </c>
      <c r="D35" s="43">
        <v>71.930726134534297</v>
      </c>
      <c r="E35" s="45">
        <v>4857</v>
      </c>
      <c r="F35" s="43">
        <f t="shared" si="0"/>
        <v>132.18484650555192</v>
      </c>
      <c r="G35" s="23"/>
    </row>
    <row r="36" spans="1:7" x14ac:dyDescent="0.2">
      <c r="A36" s="32" t="s">
        <v>38</v>
      </c>
      <c r="B36" s="46">
        <v>3136.0647445624686</v>
      </c>
      <c r="C36" s="44">
        <v>3136.1</v>
      </c>
      <c r="D36" s="42">
        <v>67</v>
      </c>
      <c r="E36" s="44">
        <v>210</v>
      </c>
      <c r="F36" s="42">
        <f t="shared" si="0"/>
        <v>5.7152188112344877</v>
      </c>
    </row>
    <row r="37" spans="1:7" x14ac:dyDescent="0.2">
      <c r="A37" s="32" t="s">
        <v>39</v>
      </c>
      <c r="B37" s="46">
        <v>3136.0647445624686</v>
      </c>
      <c r="C37" s="44">
        <v>3136.1</v>
      </c>
      <c r="D37" s="42">
        <v>72</v>
      </c>
      <c r="E37" s="44">
        <v>226</v>
      </c>
      <c r="F37" s="42">
        <f t="shared" si="0"/>
        <v>6.15066405399521</v>
      </c>
    </row>
    <row r="38" spans="1:7" x14ac:dyDescent="0.2">
      <c r="A38" s="32" t="s">
        <v>40</v>
      </c>
      <c r="B38" s="46">
        <v>3626.074860900354</v>
      </c>
      <c r="C38" s="44">
        <v>3626.1</v>
      </c>
      <c r="D38" s="42">
        <v>65</v>
      </c>
      <c r="E38" s="44">
        <v>236</v>
      </c>
      <c r="F38" s="44">
        <f t="shared" si="0"/>
        <v>6.4228173307206617</v>
      </c>
    </row>
    <row r="39" spans="1:7" x14ac:dyDescent="0.2">
      <c r="A39" s="32" t="s">
        <v>41</v>
      </c>
      <c r="B39" s="46">
        <v>11564.238745574103</v>
      </c>
      <c r="C39" s="44">
        <v>11564.2</v>
      </c>
      <c r="D39" s="42">
        <v>78</v>
      </c>
      <c r="E39" s="44">
        <v>902</v>
      </c>
      <c r="F39" s="42">
        <f t="shared" si="0"/>
        <v>24.54822556063575</v>
      </c>
    </row>
    <row r="40" spans="1:7" x14ac:dyDescent="0.2">
      <c r="A40" s="32" t="s">
        <v>42</v>
      </c>
      <c r="B40" s="46">
        <v>8134.1679312089027</v>
      </c>
      <c r="C40" s="44">
        <v>8134.2</v>
      </c>
      <c r="D40" s="42">
        <v>87</v>
      </c>
      <c r="E40" s="44">
        <v>708</v>
      </c>
      <c r="F40" s="42">
        <f t="shared" si="0"/>
        <v>19.268451992161985</v>
      </c>
    </row>
    <row r="41" spans="1:7" x14ac:dyDescent="0.2">
      <c r="A41" s="32" t="s">
        <v>43</v>
      </c>
      <c r="B41" s="46">
        <v>1274.0263024785029</v>
      </c>
      <c r="C41" s="44">
        <v>1274</v>
      </c>
      <c r="D41" s="42">
        <v>74</v>
      </c>
      <c r="E41" s="44">
        <v>94</v>
      </c>
      <c r="F41" s="42">
        <f t="shared" si="0"/>
        <v>2.5582408012192466</v>
      </c>
    </row>
    <row r="42" spans="1:7" x14ac:dyDescent="0.2">
      <c r="A42" s="32" t="s">
        <v>44</v>
      </c>
      <c r="B42" s="46">
        <v>980.02023267577135</v>
      </c>
      <c r="C42" s="44">
        <v>980</v>
      </c>
      <c r="D42" s="42">
        <v>70</v>
      </c>
      <c r="E42" s="44">
        <v>69</v>
      </c>
      <c r="F42" s="44">
        <f t="shared" si="0"/>
        <v>1.8778576094056172</v>
      </c>
    </row>
    <row r="43" spans="1:7" x14ac:dyDescent="0.2">
      <c r="A43" s="32" t="s">
        <v>45</v>
      </c>
      <c r="B43" s="46">
        <v>1862.0384420839657</v>
      </c>
      <c r="C43" s="44">
        <v>1862</v>
      </c>
      <c r="D43" s="42">
        <v>82</v>
      </c>
      <c r="E43" s="44">
        <v>153</v>
      </c>
      <c r="F43" s="42">
        <f t="shared" si="0"/>
        <v>4.1639451338994125</v>
      </c>
    </row>
    <row r="44" spans="1:7" s="17" customFormat="1" ht="15" x14ac:dyDescent="0.25">
      <c r="A44" s="34" t="s">
        <v>46</v>
      </c>
      <c r="B44" s="47">
        <v>33712.696004046542</v>
      </c>
      <c r="C44" s="45">
        <v>33712.699999999997</v>
      </c>
      <c r="D44" s="43">
        <v>77.062946604692002</v>
      </c>
      <c r="E44" s="45">
        <v>2598</v>
      </c>
      <c r="F44" s="43">
        <f t="shared" si="0"/>
        <v>70.705421293272366</v>
      </c>
      <c r="G44" s="23"/>
    </row>
    <row r="45" spans="1:7" x14ac:dyDescent="0.2">
      <c r="A45" s="32" t="s">
        <v>47</v>
      </c>
      <c r="B45" s="44">
        <v>0</v>
      </c>
      <c r="C45" s="44">
        <v>0</v>
      </c>
      <c r="D45" s="44">
        <v>0</v>
      </c>
      <c r="E45" s="44">
        <v>0</v>
      </c>
      <c r="F45" s="44">
        <v>0</v>
      </c>
    </row>
    <row r="46" spans="1:7" x14ac:dyDescent="0.2">
      <c r="A46" s="32" t="s">
        <v>48</v>
      </c>
      <c r="B46" s="44">
        <v>0</v>
      </c>
      <c r="C46" s="44">
        <v>0</v>
      </c>
      <c r="D46" s="44">
        <v>0</v>
      </c>
      <c r="E46" s="44">
        <v>0</v>
      </c>
      <c r="F46" s="44">
        <v>0</v>
      </c>
    </row>
    <row r="47" spans="1:7" x14ac:dyDescent="0.2">
      <c r="A47" s="35" t="s">
        <v>49</v>
      </c>
      <c r="B47" s="44">
        <v>0</v>
      </c>
      <c r="C47" s="44">
        <v>0</v>
      </c>
      <c r="D47" s="44">
        <v>0</v>
      </c>
      <c r="E47" s="44">
        <v>0</v>
      </c>
      <c r="F47" s="44">
        <v>0</v>
      </c>
      <c r="G47" s="24"/>
    </row>
    <row r="48" spans="1:7" x14ac:dyDescent="0.2">
      <c r="A48" s="32" t="s">
        <v>50</v>
      </c>
      <c r="B48" s="44">
        <v>0</v>
      </c>
      <c r="C48" s="44">
        <v>0</v>
      </c>
      <c r="D48" s="44">
        <v>0</v>
      </c>
      <c r="E48" s="44">
        <v>0</v>
      </c>
      <c r="F48" s="44">
        <v>0</v>
      </c>
    </row>
    <row r="49" spans="1:7" x14ac:dyDescent="0.2">
      <c r="A49" s="32" t="s">
        <v>51</v>
      </c>
      <c r="B49" s="44">
        <v>0</v>
      </c>
      <c r="C49" s="44">
        <v>0</v>
      </c>
      <c r="D49" s="44">
        <v>0</v>
      </c>
      <c r="E49" s="44">
        <v>0</v>
      </c>
      <c r="F49" s="44">
        <v>0</v>
      </c>
    </row>
    <row r="50" spans="1:7" x14ac:dyDescent="0.2">
      <c r="A50" s="32" t="s">
        <v>52</v>
      </c>
      <c r="B50" s="44">
        <v>0</v>
      </c>
      <c r="C50" s="44">
        <v>0</v>
      </c>
      <c r="D50" s="44">
        <v>0</v>
      </c>
      <c r="E50" s="44">
        <v>0</v>
      </c>
      <c r="F50" s="44">
        <v>0</v>
      </c>
    </row>
    <row r="51" spans="1:7" x14ac:dyDescent="0.2">
      <c r="A51" s="32" t="s">
        <v>53</v>
      </c>
      <c r="B51" s="44">
        <v>0</v>
      </c>
      <c r="C51" s="44">
        <v>0</v>
      </c>
      <c r="D51" s="44">
        <v>0</v>
      </c>
      <c r="E51" s="44">
        <v>0</v>
      </c>
      <c r="F51" s="44">
        <v>0</v>
      </c>
    </row>
    <row r="52" spans="1:7" x14ac:dyDescent="0.2">
      <c r="A52" s="32" t="s">
        <v>54</v>
      </c>
      <c r="B52" s="44">
        <v>0</v>
      </c>
      <c r="C52" s="44">
        <v>0</v>
      </c>
      <c r="D52" s="44">
        <v>0</v>
      </c>
      <c r="E52" s="44">
        <v>0</v>
      </c>
      <c r="F52" s="44">
        <v>0</v>
      </c>
    </row>
    <row r="53" spans="1:7" x14ac:dyDescent="0.2">
      <c r="A53" s="32" t="s">
        <v>55</v>
      </c>
      <c r="B53" s="44">
        <v>0</v>
      </c>
      <c r="C53" s="44">
        <v>0</v>
      </c>
      <c r="D53" s="44">
        <v>0</v>
      </c>
      <c r="E53" s="44">
        <v>0</v>
      </c>
      <c r="F53" s="44">
        <v>0</v>
      </c>
    </row>
    <row r="54" spans="1:7" x14ac:dyDescent="0.2">
      <c r="A54" s="32" t="s">
        <v>56</v>
      </c>
      <c r="B54" s="44">
        <v>0</v>
      </c>
      <c r="C54" s="44">
        <v>0</v>
      </c>
      <c r="D54" s="44">
        <v>0</v>
      </c>
      <c r="E54" s="44">
        <v>0</v>
      </c>
      <c r="F54" s="44">
        <v>0</v>
      </c>
    </row>
    <row r="55" spans="1:7" s="17" customFormat="1" ht="15" x14ac:dyDescent="0.25">
      <c r="A55" s="34" t="s">
        <v>57</v>
      </c>
      <c r="B55" s="47">
        <v>19502.402630247849</v>
      </c>
      <c r="C55" s="45">
        <v>19502.400000000001</v>
      </c>
      <c r="D55" s="43">
        <v>61</v>
      </c>
      <c r="E55" s="45">
        <v>1190</v>
      </c>
      <c r="F55" s="37">
        <f t="shared" si="0"/>
        <v>32.386239930328763</v>
      </c>
      <c r="G55" s="23"/>
    </row>
    <row r="56" spans="1:7" s="17" customFormat="1" ht="15.75" thickBot="1" x14ac:dyDescent="0.3">
      <c r="A56" s="36" t="s">
        <v>0</v>
      </c>
      <c r="B56" s="47">
        <v>775000</v>
      </c>
      <c r="C56" s="45">
        <v>774999.90733434493</v>
      </c>
      <c r="D56" s="43">
        <v>77.161299548648216</v>
      </c>
      <c r="E56" s="45">
        <v>59800</v>
      </c>
      <c r="F56" s="38">
        <f t="shared" si="0"/>
        <v>1627.4765948182016</v>
      </c>
    </row>
    <row r="57" spans="1:7" s="22" customFormat="1" x14ac:dyDescent="0.2">
      <c r="A57" s="20"/>
      <c r="B57" s="20"/>
      <c r="C57" s="16"/>
      <c r="D57" s="20"/>
      <c r="E57" s="15"/>
      <c r="F57" s="21"/>
      <c r="G57" s="20"/>
    </row>
    <row r="58" spans="1:7" ht="15" x14ac:dyDescent="0.2">
      <c r="A58" t="s">
        <v>66</v>
      </c>
      <c r="B58" s="6"/>
      <c r="C58" s="6"/>
      <c r="D58" s="8"/>
      <c r="E58" s="12"/>
      <c r="F58" s="14"/>
      <c r="G58" s="3"/>
    </row>
    <row r="59" spans="1:7" ht="15" x14ac:dyDescent="0.25">
      <c r="A59" s="17" t="s">
        <v>60</v>
      </c>
      <c r="B59" s="6"/>
      <c r="C59" s="6"/>
      <c r="D59" s="8"/>
      <c r="E59" s="6"/>
      <c r="F59" s="7"/>
      <c r="G59" s="3"/>
    </row>
    <row r="60" spans="1:7" x14ac:dyDescent="0.2">
      <c r="A60" s="41" t="s">
        <v>69</v>
      </c>
      <c r="B60" s="6"/>
      <c r="C60" s="6"/>
      <c r="D60" s="8"/>
      <c r="E60" s="6"/>
      <c r="F60" s="7"/>
      <c r="G60" s="3"/>
    </row>
    <row r="61" spans="1:7" x14ac:dyDescent="0.2">
      <c r="A61" s="3"/>
      <c r="B61" s="6"/>
      <c r="C61" s="6"/>
      <c r="D61" s="8"/>
      <c r="E61" s="6"/>
      <c r="F61" s="7"/>
      <c r="G61" s="3"/>
    </row>
    <row r="62" spans="1:7" x14ac:dyDescent="0.2">
      <c r="A62" s="3"/>
      <c r="B62" s="6"/>
      <c r="C62" s="6"/>
      <c r="D62" s="8"/>
      <c r="E62" s="6"/>
      <c r="F62" s="7"/>
      <c r="G62" s="3"/>
    </row>
    <row r="63" spans="1:7" x14ac:dyDescent="0.2">
      <c r="A63" s="3"/>
      <c r="B63" s="6"/>
      <c r="C63" s="6"/>
      <c r="D63" s="8"/>
      <c r="E63" s="6"/>
      <c r="F63" s="7"/>
      <c r="G63" s="3"/>
    </row>
    <row r="64" spans="1:7" x14ac:dyDescent="0.2">
      <c r="A64" s="3"/>
      <c r="B64" s="6"/>
      <c r="C64" s="6"/>
      <c r="D64" s="8"/>
      <c r="E64" s="6"/>
      <c r="F64" s="7"/>
      <c r="G64" s="3"/>
    </row>
    <row r="65" spans="1:7" x14ac:dyDescent="0.2">
      <c r="A65" s="3"/>
      <c r="B65" s="6"/>
      <c r="C65" s="6"/>
      <c r="D65" s="8"/>
      <c r="E65" s="6"/>
      <c r="F65" s="7"/>
      <c r="G65" s="3"/>
    </row>
    <row r="66" spans="1:7" x14ac:dyDescent="0.2">
      <c r="A66" s="3"/>
      <c r="B66" s="6"/>
      <c r="C66" s="6"/>
      <c r="D66" s="8"/>
      <c r="E66" s="6"/>
      <c r="F66" s="7"/>
      <c r="G66" s="3"/>
    </row>
    <row r="67" spans="1:7" x14ac:dyDescent="0.2">
      <c r="A67" s="3"/>
      <c r="B67" s="6"/>
      <c r="C67" s="6"/>
      <c r="D67" s="8"/>
      <c r="E67" s="6"/>
      <c r="F67" s="7"/>
      <c r="G67" s="3"/>
    </row>
    <row r="68" spans="1:7" x14ac:dyDescent="0.2">
      <c r="A68" s="3"/>
      <c r="B68" s="3"/>
      <c r="C68" s="3"/>
      <c r="D68" s="3"/>
      <c r="E68" s="6"/>
      <c r="F68" s="7"/>
      <c r="G68" s="3"/>
    </row>
    <row r="69" spans="1:7" x14ac:dyDescent="0.2">
      <c r="A69" s="3"/>
      <c r="B69" s="3"/>
      <c r="C69" s="3"/>
      <c r="D69" s="3"/>
      <c r="E69" s="6"/>
      <c r="F69" s="7"/>
      <c r="G69" s="3"/>
    </row>
    <row r="70" spans="1:7" x14ac:dyDescent="0.2">
      <c r="A70" s="3"/>
      <c r="B70" s="3"/>
      <c r="C70" s="3"/>
      <c r="D70" s="3"/>
      <c r="E70" s="6"/>
      <c r="F70" s="7"/>
      <c r="G70" s="3"/>
    </row>
    <row r="71" spans="1:7" x14ac:dyDescent="0.2">
      <c r="A71" s="3"/>
      <c r="B71" s="3"/>
      <c r="C71" s="3"/>
      <c r="D71" s="3"/>
      <c r="E71" s="6"/>
      <c r="F71" s="7"/>
      <c r="G71" s="3"/>
    </row>
    <row r="72" spans="1:7" x14ac:dyDescent="0.2">
      <c r="A72" s="3"/>
      <c r="B72" s="3"/>
      <c r="C72" s="3"/>
      <c r="D72" s="3"/>
      <c r="E72" s="3"/>
      <c r="F72" s="3"/>
      <c r="G72" s="3"/>
    </row>
    <row r="73" spans="1:7" x14ac:dyDescent="0.2">
      <c r="A73" s="3"/>
      <c r="B73" s="3"/>
      <c r="C73" s="3"/>
      <c r="D73" s="3"/>
      <c r="E73" s="3"/>
      <c r="F73" s="3"/>
      <c r="G73" s="3"/>
    </row>
    <row r="74" spans="1:7" x14ac:dyDescent="0.2">
      <c r="A74" s="3"/>
      <c r="B74" s="3"/>
      <c r="C74" s="3"/>
      <c r="D74" s="3"/>
      <c r="E74" s="3"/>
      <c r="F74" s="3"/>
      <c r="G74" s="3"/>
    </row>
    <row r="75" spans="1:7" x14ac:dyDescent="0.2">
      <c r="A75" s="3"/>
      <c r="B75" s="3"/>
      <c r="C75" s="3"/>
      <c r="D75" s="3"/>
      <c r="E75" s="3"/>
      <c r="F75" s="3"/>
      <c r="G75" s="3"/>
    </row>
    <row r="76" spans="1:7" x14ac:dyDescent="0.2">
      <c r="A76" s="3"/>
      <c r="B76" s="3"/>
      <c r="C76" s="3"/>
      <c r="D76" s="3"/>
      <c r="E76" s="3"/>
      <c r="F76" s="3"/>
      <c r="G76" s="3"/>
    </row>
    <row r="77" spans="1:7" x14ac:dyDescent="0.2">
      <c r="A77" s="3"/>
      <c r="B77" s="3"/>
      <c r="C77" s="3"/>
      <c r="D77" s="3"/>
      <c r="E77" s="3"/>
      <c r="F77" s="3"/>
      <c r="G77" s="3"/>
    </row>
    <row r="78" spans="1:7" x14ac:dyDescent="0.2">
      <c r="A78" s="3"/>
      <c r="E78" s="3"/>
      <c r="F78" s="3"/>
      <c r="G78" s="3"/>
    </row>
    <row r="79" spans="1:7" x14ac:dyDescent="0.2">
      <c r="A79" s="3"/>
      <c r="E79" s="3"/>
      <c r="F79" s="3"/>
      <c r="G79" s="3"/>
    </row>
    <row r="80" spans="1:7" x14ac:dyDescent="0.2">
      <c r="A80" s="3"/>
      <c r="E80" s="3"/>
      <c r="F80" s="3"/>
      <c r="G80" s="3"/>
    </row>
    <row r="81" spans="1:7" x14ac:dyDescent="0.2">
      <c r="A81" s="3"/>
      <c r="E81" s="3"/>
      <c r="F81" s="3"/>
      <c r="G81" s="3"/>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1"/>
  <sheetViews>
    <sheetView workbookViewId="0">
      <selection sqref="A1:F1"/>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6384" width="9.77734375" style="1"/>
  </cols>
  <sheetData>
    <row r="1" spans="1:7" ht="15.75" thickBot="1" x14ac:dyDescent="0.3">
      <c r="A1" s="80" t="s">
        <v>70</v>
      </c>
      <c r="B1" s="81"/>
      <c r="C1" s="81"/>
      <c r="D1" s="81"/>
      <c r="E1" s="81"/>
      <c r="F1" s="81"/>
      <c r="G1" s="3"/>
    </row>
    <row r="2" spans="1:7" ht="47.25" customHeight="1" thickBot="1" x14ac:dyDescent="0.3">
      <c r="A2" s="28"/>
      <c r="B2" s="39" t="s">
        <v>59</v>
      </c>
      <c r="C2" s="29" t="s">
        <v>2</v>
      </c>
      <c r="D2" s="30" t="s">
        <v>3</v>
      </c>
      <c r="E2" s="29" t="s">
        <v>4</v>
      </c>
      <c r="F2" s="31" t="s">
        <v>1</v>
      </c>
      <c r="G2" s="3"/>
    </row>
    <row r="3" spans="1:7" x14ac:dyDescent="0.2">
      <c r="A3" s="32" t="s">
        <v>5</v>
      </c>
      <c r="B3" s="46">
        <v>23738.690265839101</v>
      </c>
      <c r="C3" s="44">
        <v>23583.808902256911</v>
      </c>
      <c r="D3" s="42">
        <v>70.949548828732716</v>
      </c>
      <c r="E3" s="44">
        <v>1673.260601278178</v>
      </c>
      <c r="F3" s="33">
        <f>+E3/36.744</f>
        <v>45.538335545345582</v>
      </c>
      <c r="G3" s="16"/>
    </row>
    <row r="4" spans="1:7" x14ac:dyDescent="0.2">
      <c r="A4" s="32" t="s">
        <v>6</v>
      </c>
      <c r="B4" s="46">
        <v>63618.676926599343</v>
      </c>
      <c r="C4" s="44">
        <v>63203.601481351805</v>
      </c>
      <c r="D4" s="42">
        <v>88.228139546523849</v>
      </c>
      <c r="E4" s="44">
        <v>5576.336171339588</v>
      </c>
      <c r="F4" s="33">
        <f t="shared" ref="F4:F56" si="0">+E4/36.744</f>
        <v>151.76181611527292</v>
      </c>
      <c r="G4" s="16"/>
    </row>
    <row r="5" spans="1:7" x14ac:dyDescent="0.2">
      <c r="A5" s="32" t="s">
        <v>7</v>
      </c>
      <c r="B5" s="46">
        <v>29258.407951779642</v>
      </c>
      <c r="C5" s="44">
        <v>29067.51359033558</v>
      </c>
      <c r="D5" s="42">
        <v>83</v>
      </c>
      <c r="E5" s="44">
        <v>2412.6036279978534</v>
      </c>
      <c r="F5" s="33">
        <f t="shared" si="0"/>
        <v>65.659798279932872</v>
      </c>
    </row>
    <row r="6" spans="1:7" x14ac:dyDescent="0.2">
      <c r="A6" s="32" t="s">
        <v>8</v>
      </c>
      <c r="B6" s="46">
        <v>41907.013553264878</v>
      </c>
      <c r="C6" s="44">
        <v>41633.59428159902</v>
      </c>
      <c r="D6" s="42">
        <v>82.600931637920183</v>
      </c>
      <c r="E6" s="44">
        <v>3438.9736750952652</v>
      </c>
      <c r="F6" s="33">
        <f t="shared" si="0"/>
        <v>93.592795424974554</v>
      </c>
    </row>
    <row r="7" spans="1:7" x14ac:dyDescent="0.2">
      <c r="A7" s="32" t="s">
        <v>9</v>
      </c>
      <c r="B7" s="46">
        <v>44207.335586403926</v>
      </c>
      <c r="C7" s="44">
        <v>43918.908030406419</v>
      </c>
      <c r="D7" s="42">
        <v>76.782289055973266</v>
      </c>
      <c r="E7" s="44">
        <v>3372.194291413371</v>
      </c>
      <c r="F7" s="33">
        <f t="shared" si="0"/>
        <v>91.775372616301198</v>
      </c>
    </row>
    <row r="8" spans="1:7" x14ac:dyDescent="0.2">
      <c r="A8" s="32" t="s">
        <v>10</v>
      </c>
      <c r="B8" s="46">
        <v>16818.730681744652</v>
      </c>
      <c r="C8" s="44">
        <v>16708.998092771162</v>
      </c>
      <c r="D8" s="42">
        <v>77.2</v>
      </c>
      <c r="E8" s="44">
        <v>1296.8476037269133</v>
      </c>
      <c r="F8" s="33">
        <f t="shared" si="0"/>
        <v>35.29413247678297</v>
      </c>
    </row>
    <row r="9" spans="1:7" x14ac:dyDescent="0.2">
      <c r="A9" s="32" t="s">
        <v>11</v>
      </c>
      <c r="B9" s="46">
        <v>135945.8665777384</v>
      </c>
      <c r="C9" s="44">
        <v>135058.89762734005</v>
      </c>
      <c r="D9" s="42">
        <v>80</v>
      </c>
      <c r="E9" s="44">
        <v>10804.711810187204</v>
      </c>
      <c r="F9" s="33">
        <f t="shared" si="0"/>
        <v>294.05377232166353</v>
      </c>
    </row>
    <row r="10" spans="1:7" x14ac:dyDescent="0.2">
      <c r="A10" s="32" t="s">
        <v>12</v>
      </c>
      <c r="B10" s="46">
        <v>89317.916888572552</v>
      </c>
      <c r="C10" s="44">
        <v>88735.16861539043</v>
      </c>
      <c r="D10" s="42">
        <v>78</v>
      </c>
      <c r="E10" s="44">
        <v>6921.3431520004533</v>
      </c>
      <c r="F10" s="33">
        <f t="shared" si="0"/>
        <v>188.366621815819</v>
      </c>
    </row>
    <row r="11" spans="1:7" x14ac:dyDescent="0.2">
      <c r="A11" s="32" t="s">
        <v>13</v>
      </c>
      <c r="B11" s="46">
        <v>22266.695203348747</v>
      </c>
      <c r="C11" s="44">
        <v>22121.417764831993</v>
      </c>
      <c r="D11" s="42">
        <v>77.538858875935929</v>
      </c>
      <c r="E11" s="44">
        <v>1715.2694902029298</v>
      </c>
      <c r="F11" s="33">
        <f t="shared" si="0"/>
        <v>46.681621222592256</v>
      </c>
    </row>
    <row r="12" spans="1:7" x14ac:dyDescent="0.2">
      <c r="A12" s="32" t="s">
        <v>14</v>
      </c>
      <c r="B12" s="46">
        <v>32899.881041854358</v>
      </c>
      <c r="C12" s="44">
        <v>32685.228153241249</v>
      </c>
      <c r="D12" s="42">
        <v>90.133868420204365</v>
      </c>
      <c r="E12" s="44">
        <v>2946.0460536486057</v>
      </c>
      <c r="F12" s="33">
        <f t="shared" si="0"/>
        <v>80.177608688455408</v>
      </c>
    </row>
    <row r="13" spans="1:7" s="17" customFormat="1" ht="15" x14ac:dyDescent="0.25">
      <c r="A13" s="34" t="s">
        <v>15</v>
      </c>
      <c r="B13" s="47">
        <v>499979.21467714559</v>
      </c>
      <c r="C13" s="45">
        <v>496717.13653952465</v>
      </c>
      <c r="D13" s="43">
        <v>80.845985618003667</v>
      </c>
      <c r="E13" s="45">
        <v>40157.58647689037</v>
      </c>
      <c r="F13" s="37">
        <f t="shared" si="0"/>
        <v>1092.9018745071405</v>
      </c>
      <c r="G13" s="23"/>
    </row>
    <row r="14" spans="1:7" x14ac:dyDescent="0.2">
      <c r="A14" s="32" t="s">
        <v>16</v>
      </c>
      <c r="B14" s="46">
        <v>67050.166491630618</v>
      </c>
      <c r="C14" s="44">
        <v>65943.385443771374</v>
      </c>
      <c r="D14" s="42">
        <v>82.221745938849438</v>
      </c>
      <c r="E14" s="44">
        <v>5421.9802843053922</v>
      </c>
      <c r="F14" s="33">
        <f t="shared" si="0"/>
        <v>147.5609700714509</v>
      </c>
    </row>
    <row r="15" spans="1:7" x14ac:dyDescent="0.2">
      <c r="A15" s="32" t="s">
        <v>17</v>
      </c>
      <c r="B15" s="46">
        <v>10207.942820452838</v>
      </c>
      <c r="C15" s="44">
        <v>10039.442751885248</v>
      </c>
      <c r="D15" s="42">
        <v>74.955654331197024</v>
      </c>
      <c r="E15" s="44">
        <v>752.51300058815207</v>
      </c>
      <c r="F15" s="33">
        <f t="shared" si="0"/>
        <v>20.479887888856741</v>
      </c>
    </row>
    <row r="16" spans="1:7" x14ac:dyDescent="0.2">
      <c r="A16" s="32" t="s">
        <v>18</v>
      </c>
      <c r="B16" s="46">
        <v>27458.24768180936</v>
      </c>
      <c r="C16" s="44">
        <v>27005.000960260277</v>
      </c>
      <c r="D16" s="42">
        <v>71</v>
      </c>
      <c r="E16" s="44">
        <v>1926.8157160156909</v>
      </c>
      <c r="F16" s="33">
        <f t="shared" si="0"/>
        <v>52.438921075976786</v>
      </c>
    </row>
    <row r="17" spans="1:7" x14ac:dyDescent="0.2">
      <c r="A17" s="32" t="s">
        <v>19</v>
      </c>
      <c r="B17" s="46">
        <v>6724.7487693555859</v>
      </c>
      <c r="C17" s="44">
        <v>6613.7449511851037</v>
      </c>
      <c r="D17" s="42">
        <v>70.5</v>
      </c>
      <c r="E17" s="44">
        <v>466.26901905854982</v>
      </c>
      <c r="F17" s="33">
        <f t="shared" si="0"/>
        <v>12.689664137234645</v>
      </c>
    </row>
    <row r="18" spans="1:7" x14ac:dyDescent="0.2">
      <c r="A18" s="32" t="s">
        <v>20</v>
      </c>
      <c r="B18" s="46">
        <v>89256.715660167945</v>
      </c>
      <c r="C18" s="44">
        <v>87783.376420970584</v>
      </c>
      <c r="D18" s="42">
        <v>87.881698541942811</v>
      </c>
      <c r="E18" s="44">
        <v>7714.5522236216275</v>
      </c>
      <c r="F18" s="33">
        <f t="shared" si="0"/>
        <v>209.95406661282462</v>
      </c>
    </row>
    <row r="19" spans="1:7" x14ac:dyDescent="0.2">
      <c r="A19" s="32" t="s">
        <v>21</v>
      </c>
      <c r="B19" s="46">
        <v>4491.9591261802489</v>
      </c>
      <c r="C19" s="44">
        <v>4417.8114321661669</v>
      </c>
      <c r="D19" s="42">
        <v>73</v>
      </c>
      <c r="E19" s="44">
        <v>322.50023454813021</v>
      </c>
      <c r="F19" s="33">
        <f t="shared" si="0"/>
        <v>8.7769495577000392</v>
      </c>
    </row>
    <row r="20" spans="1:7" x14ac:dyDescent="0.2">
      <c r="A20" s="32" t="s">
        <v>22</v>
      </c>
      <c r="B20" s="46">
        <v>76306.324691032351</v>
      </c>
      <c r="C20" s="44">
        <v>75046.754455507718</v>
      </c>
      <c r="D20" s="42">
        <v>84.326767889779276</v>
      </c>
      <c r="E20" s="44">
        <v>6328.450243850858</v>
      </c>
      <c r="F20" s="33">
        <f t="shared" si="0"/>
        <v>172.23084704579952</v>
      </c>
    </row>
    <row r="21" spans="1:7" x14ac:dyDescent="0.2">
      <c r="A21" s="32" t="s">
        <v>23</v>
      </c>
      <c r="B21" s="46">
        <v>54280.213626929341</v>
      </c>
      <c r="C21" s="44">
        <v>53384.223134146065</v>
      </c>
      <c r="D21" s="42">
        <v>80.302776954244493</v>
      </c>
      <c r="E21" s="44">
        <v>4286.9013632169508</v>
      </c>
      <c r="F21" s="33">
        <f t="shared" si="0"/>
        <v>116.66942529982992</v>
      </c>
    </row>
    <row r="22" spans="1:7" x14ac:dyDescent="0.2">
      <c r="A22" s="32" t="s">
        <v>24</v>
      </c>
      <c r="B22" s="46">
        <v>26724.888134547138</v>
      </c>
      <c r="C22" s="44">
        <v>26283.746803493661</v>
      </c>
      <c r="D22" s="42">
        <v>78.150000000000006</v>
      </c>
      <c r="E22" s="44">
        <v>2054.0748126930298</v>
      </c>
      <c r="F22" s="33">
        <f t="shared" si="0"/>
        <v>55.902319091362664</v>
      </c>
    </row>
    <row r="23" spans="1:7" x14ac:dyDescent="0.2">
      <c r="A23" s="32" t="s">
        <v>25</v>
      </c>
      <c r="B23" s="46">
        <v>83877.338722120738</v>
      </c>
      <c r="C23" s="44">
        <v>82492.795570328541</v>
      </c>
      <c r="D23" s="42">
        <v>77.147999999999996</v>
      </c>
      <c r="E23" s="44">
        <v>6364.1541926597056</v>
      </c>
      <c r="F23" s="33">
        <f t="shared" si="0"/>
        <v>173.20254171183609</v>
      </c>
    </row>
    <row r="24" spans="1:7" s="17" customFormat="1" ht="15" x14ac:dyDescent="0.25">
      <c r="A24" s="34" t="s">
        <v>26</v>
      </c>
      <c r="B24" s="47">
        <v>446378.54572422616</v>
      </c>
      <c r="C24" s="45">
        <v>439010.28192371473</v>
      </c>
      <c r="D24" s="43">
        <v>81.178533984201337</v>
      </c>
      <c r="E24" s="45">
        <v>35638.211090558092</v>
      </c>
      <c r="F24" s="37">
        <f t="shared" si="0"/>
        <v>969.90559249287207</v>
      </c>
      <c r="G24" s="23"/>
    </row>
    <row r="25" spans="1:7" x14ac:dyDescent="0.2">
      <c r="A25" s="32" t="s">
        <v>27</v>
      </c>
      <c r="B25" s="46">
        <v>23892.748530443827</v>
      </c>
      <c r="C25" s="44">
        <v>23297.297436322395</v>
      </c>
      <c r="D25" s="42">
        <v>71.918832181858704</v>
      </c>
      <c r="E25" s="44">
        <v>1675.5144246137172</v>
      </c>
      <c r="F25" s="33">
        <f t="shared" si="0"/>
        <v>45.599674085938311</v>
      </c>
    </row>
    <row r="26" spans="1:7" x14ac:dyDescent="0.2">
      <c r="A26" s="32" t="s">
        <v>28</v>
      </c>
      <c r="B26" s="46">
        <v>0</v>
      </c>
      <c r="C26" s="44">
        <v>0</v>
      </c>
      <c r="D26" s="44">
        <v>0</v>
      </c>
      <c r="E26" s="44">
        <v>0</v>
      </c>
      <c r="F26" s="44">
        <f t="shared" si="0"/>
        <v>0</v>
      </c>
      <c r="G26" s="40"/>
    </row>
    <row r="27" spans="1:7" x14ac:dyDescent="0.2">
      <c r="A27" s="32" t="s">
        <v>29</v>
      </c>
      <c r="B27" s="46">
        <v>0</v>
      </c>
      <c r="C27" s="44">
        <v>0</v>
      </c>
      <c r="D27" s="42" t="s">
        <v>71</v>
      </c>
      <c r="E27" s="44">
        <v>0</v>
      </c>
      <c r="F27" s="44">
        <f t="shared" si="0"/>
        <v>0</v>
      </c>
    </row>
    <row r="28" spans="1:7" x14ac:dyDescent="0.2">
      <c r="A28" s="32" t="s">
        <v>30</v>
      </c>
      <c r="B28" s="46">
        <v>18073.355864039302</v>
      </c>
      <c r="C28" s="44">
        <v>17622.934703410767</v>
      </c>
      <c r="D28" s="42">
        <v>64.745971508640821</v>
      </c>
      <c r="E28" s="44">
        <v>1141.0140282056711</v>
      </c>
      <c r="F28" s="33">
        <f t="shared" si="0"/>
        <v>31.053070656588044</v>
      </c>
    </row>
    <row r="29" spans="1:7" x14ac:dyDescent="0.2">
      <c r="A29" s="32" t="s">
        <v>31</v>
      </c>
      <c r="B29" s="46">
        <v>0</v>
      </c>
      <c r="C29" s="44">
        <v>0</v>
      </c>
      <c r="D29" s="44">
        <v>0</v>
      </c>
      <c r="E29" s="44">
        <v>0</v>
      </c>
      <c r="F29" s="44">
        <f t="shared" si="0"/>
        <v>0</v>
      </c>
      <c r="G29" s="40"/>
    </row>
    <row r="30" spans="1:7" x14ac:dyDescent="0.2">
      <c r="A30" s="32" t="s">
        <v>32</v>
      </c>
      <c r="B30" s="46">
        <v>13281.721757395067</v>
      </c>
      <c r="C30" s="44">
        <v>12950.716902839289</v>
      </c>
      <c r="D30" s="42">
        <v>68.015412727417171</v>
      </c>
      <c r="E30" s="44">
        <v>880.84835526255199</v>
      </c>
      <c r="F30" s="42">
        <f t="shared" si="0"/>
        <v>23.972576618292837</v>
      </c>
    </row>
    <row r="31" spans="1:7" x14ac:dyDescent="0.2">
      <c r="A31" s="32" t="s">
        <v>33</v>
      </c>
      <c r="B31" s="46">
        <v>0</v>
      </c>
      <c r="C31" s="44">
        <v>0</v>
      </c>
      <c r="D31" s="44">
        <v>0</v>
      </c>
      <c r="E31" s="44">
        <v>0</v>
      </c>
      <c r="F31" s="44">
        <f t="shared" si="0"/>
        <v>0</v>
      </c>
      <c r="G31" s="40"/>
    </row>
    <row r="32" spans="1:7" x14ac:dyDescent="0.2">
      <c r="A32" s="32" t="s">
        <v>34</v>
      </c>
      <c r="B32" s="46">
        <v>9818.5763845682923</v>
      </c>
      <c r="C32" s="44">
        <v>9573.8794614220678</v>
      </c>
      <c r="D32" s="42">
        <v>58.662628778444471</v>
      </c>
      <c r="E32" s="44">
        <v>561.62893681497667</v>
      </c>
      <c r="F32" s="42">
        <f t="shared" si="0"/>
        <v>15.284915545802761</v>
      </c>
    </row>
    <row r="33" spans="1:7" x14ac:dyDescent="0.2">
      <c r="A33" s="32" t="s">
        <v>35</v>
      </c>
      <c r="B33" s="46">
        <v>13714.351130600116</v>
      </c>
      <c r="C33" s="44">
        <v>13373</v>
      </c>
      <c r="D33" s="42">
        <v>99</v>
      </c>
      <c r="E33" s="44">
        <v>1324</v>
      </c>
      <c r="F33" s="42">
        <f t="shared" si="0"/>
        <v>36.033093838449815</v>
      </c>
    </row>
    <row r="34" spans="1:7" x14ac:dyDescent="0.2">
      <c r="A34" s="32" t="s">
        <v>36</v>
      </c>
      <c r="B34" s="46">
        <v>3702.6743184793272</v>
      </c>
      <c r="C34" s="44">
        <v>3610.396886634072</v>
      </c>
      <c r="D34" s="42">
        <v>57.657340553549943</v>
      </c>
      <c r="E34" s="44">
        <v>208.16588282613714</v>
      </c>
      <c r="F34" s="42">
        <f t="shared" si="0"/>
        <v>5.6653027113579668</v>
      </c>
    </row>
    <row r="35" spans="1:7" s="17" customFormat="1" ht="15" x14ac:dyDescent="0.25">
      <c r="A35" s="34" t="s">
        <v>37</v>
      </c>
      <c r="B35" s="47">
        <v>85523.440727486304</v>
      </c>
      <c r="C35" s="45">
        <v>83392.039800995015</v>
      </c>
      <c r="D35" s="43">
        <v>74.056397023177084</v>
      </c>
      <c r="E35" s="45">
        <v>6175.7140080750723</v>
      </c>
      <c r="F35" s="42">
        <f t="shared" si="0"/>
        <v>168.0740803416904</v>
      </c>
      <c r="G35" s="23"/>
    </row>
    <row r="36" spans="1:7" x14ac:dyDescent="0.2">
      <c r="A36" s="32" t="s">
        <v>38</v>
      </c>
      <c r="B36" s="46">
        <v>1527.9203229290581</v>
      </c>
      <c r="C36" s="44">
        <v>1400.9012920648306</v>
      </c>
      <c r="D36" s="42">
        <v>55</v>
      </c>
      <c r="E36" s="44">
        <v>77.049571063565693</v>
      </c>
      <c r="F36" s="42">
        <f t="shared" si="0"/>
        <v>2.0969293235239954</v>
      </c>
    </row>
    <row r="37" spans="1:7" x14ac:dyDescent="0.2">
      <c r="A37" s="32" t="s">
        <v>39</v>
      </c>
      <c r="B37" s="46">
        <v>4203.8912752412762</v>
      </c>
      <c r="C37" s="44">
        <v>3854.4134997142855</v>
      </c>
      <c r="D37" s="42">
        <v>58.783132530120483</v>
      </c>
      <c r="E37" s="44">
        <v>226.57449957959037</v>
      </c>
      <c r="F37" s="42">
        <f t="shared" si="0"/>
        <v>6.1662992483015016</v>
      </c>
    </row>
    <row r="38" spans="1:7" x14ac:dyDescent="0.2">
      <c r="A38" s="32" t="s">
        <v>40</v>
      </c>
      <c r="B38" s="46">
        <v>0</v>
      </c>
      <c r="C38" s="44">
        <v>0</v>
      </c>
      <c r="D38" s="42">
        <v>0</v>
      </c>
      <c r="E38" s="44">
        <v>0</v>
      </c>
      <c r="F38" s="44">
        <f t="shared" si="0"/>
        <v>0</v>
      </c>
    </row>
    <row r="39" spans="1:7" x14ac:dyDescent="0.2">
      <c r="A39" s="32" t="s">
        <v>41</v>
      </c>
      <c r="B39" s="46">
        <v>9551.6124054929805</v>
      </c>
      <c r="C39" s="44">
        <v>8757.5680219411934</v>
      </c>
      <c r="D39" s="42">
        <v>78.539328325231992</v>
      </c>
      <c r="E39" s="44">
        <v>687.81351020579189</v>
      </c>
      <c r="F39" s="42">
        <f t="shared" si="0"/>
        <v>18.719070057854122</v>
      </c>
    </row>
    <row r="40" spans="1:7" x14ac:dyDescent="0.2">
      <c r="A40" s="32" t="s">
        <v>42</v>
      </c>
      <c r="B40" s="46">
        <v>2364.6888423232181</v>
      </c>
      <c r="C40" s="44">
        <v>2168.1075935892859</v>
      </c>
      <c r="D40" s="42">
        <v>62.097278000892452</v>
      </c>
      <c r="E40" s="44">
        <v>134.63357997495984</v>
      </c>
      <c r="F40" s="42">
        <f t="shared" si="0"/>
        <v>3.6640969947463491</v>
      </c>
    </row>
    <row r="41" spans="1:7" x14ac:dyDescent="0.2">
      <c r="A41" s="32" t="s">
        <v>43</v>
      </c>
      <c r="B41" s="46">
        <v>2455.4354913369602</v>
      </c>
      <c r="C41" s="44">
        <v>2251.3102946373351</v>
      </c>
      <c r="D41" s="42">
        <v>71.251381215469607</v>
      </c>
      <c r="E41" s="44">
        <v>160.40896803751596</v>
      </c>
      <c r="F41" s="42">
        <f t="shared" si="0"/>
        <v>4.3655826267558231</v>
      </c>
    </row>
    <row r="42" spans="1:7" x14ac:dyDescent="0.2">
      <c r="A42" s="32" t="s">
        <v>44</v>
      </c>
      <c r="B42" s="46">
        <v>0</v>
      </c>
      <c r="C42" s="44">
        <v>0</v>
      </c>
      <c r="D42" s="44">
        <v>0</v>
      </c>
      <c r="E42" s="44">
        <v>0</v>
      </c>
      <c r="F42" s="44">
        <f t="shared" si="0"/>
        <v>0</v>
      </c>
    </row>
    <row r="43" spans="1:7" x14ac:dyDescent="0.2">
      <c r="A43" s="32" t="s">
        <v>45</v>
      </c>
      <c r="B43" s="46">
        <v>5812.0063112522457</v>
      </c>
      <c r="C43" s="44">
        <v>5328.8427601471594</v>
      </c>
      <c r="D43" s="42">
        <v>68.444871486908482</v>
      </c>
      <c r="E43" s="44">
        <v>364.73195789221501</v>
      </c>
      <c r="F43" s="42">
        <f t="shared" si="0"/>
        <v>9.9262997466855811</v>
      </c>
    </row>
    <row r="44" spans="1:7" s="17" customFormat="1" ht="15" x14ac:dyDescent="0.25">
      <c r="A44" s="34" t="s">
        <v>46</v>
      </c>
      <c r="B44" s="47">
        <v>26853.621752915471</v>
      </c>
      <c r="C44" s="45">
        <v>24621.227197346601</v>
      </c>
      <c r="D44" s="43">
        <v>68.955115657150216</v>
      </c>
      <c r="E44" s="45">
        <v>1697.7595690140074</v>
      </c>
      <c r="F44" s="42">
        <f t="shared" si="0"/>
        <v>46.205082979915289</v>
      </c>
      <c r="G44" s="23"/>
    </row>
    <row r="45" spans="1:7" x14ac:dyDescent="0.2">
      <c r="A45" s="32" t="s">
        <v>47</v>
      </c>
      <c r="B45" s="46">
        <v>0</v>
      </c>
      <c r="C45" s="44">
        <v>0</v>
      </c>
      <c r="D45" s="44">
        <v>0</v>
      </c>
      <c r="E45" s="44">
        <v>0</v>
      </c>
      <c r="F45" s="44">
        <f t="shared" si="0"/>
        <v>0</v>
      </c>
    </row>
    <row r="46" spans="1:7" x14ac:dyDescent="0.2">
      <c r="A46" s="32" t="s">
        <v>48</v>
      </c>
      <c r="B46" s="46">
        <v>0</v>
      </c>
      <c r="C46" s="44">
        <v>0</v>
      </c>
      <c r="D46" s="44">
        <v>0</v>
      </c>
      <c r="E46" s="44">
        <v>0</v>
      </c>
      <c r="F46" s="44">
        <f t="shared" si="0"/>
        <v>0</v>
      </c>
    </row>
    <row r="47" spans="1:7" x14ac:dyDescent="0.2">
      <c r="A47" s="35" t="s">
        <v>49</v>
      </c>
      <c r="B47" s="46">
        <v>0</v>
      </c>
      <c r="C47" s="44">
        <v>0</v>
      </c>
      <c r="D47" s="44">
        <v>0</v>
      </c>
      <c r="E47" s="44">
        <v>0</v>
      </c>
      <c r="F47" s="44">
        <f t="shared" si="0"/>
        <v>0</v>
      </c>
      <c r="G47" s="24"/>
    </row>
    <row r="48" spans="1:7" x14ac:dyDescent="0.2">
      <c r="A48" s="32" t="s">
        <v>50</v>
      </c>
      <c r="B48" s="46">
        <v>0</v>
      </c>
      <c r="C48" s="44">
        <v>0</v>
      </c>
      <c r="D48" s="44">
        <v>0</v>
      </c>
      <c r="E48" s="44">
        <v>0</v>
      </c>
      <c r="F48" s="44">
        <f t="shared" si="0"/>
        <v>0</v>
      </c>
    </row>
    <row r="49" spans="1:7" x14ac:dyDescent="0.2">
      <c r="A49" s="32" t="s">
        <v>51</v>
      </c>
      <c r="B49" s="46">
        <v>0</v>
      </c>
      <c r="C49" s="44">
        <v>0</v>
      </c>
      <c r="D49" s="44">
        <v>0</v>
      </c>
      <c r="E49" s="44">
        <v>0</v>
      </c>
      <c r="F49" s="44">
        <f t="shared" si="0"/>
        <v>0</v>
      </c>
    </row>
    <row r="50" spans="1:7" x14ac:dyDescent="0.2">
      <c r="A50" s="32" t="s">
        <v>52</v>
      </c>
      <c r="B50" s="46">
        <v>0</v>
      </c>
      <c r="C50" s="44">
        <v>0</v>
      </c>
      <c r="D50" s="44">
        <v>0</v>
      </c>
      <c r="E50" s="44">
        <v>0</v>
      </c>
      <c r="F50" s="44">
        <v>0</v>
      </c>
    </row>
    <row r="51" spans="1:7" x14ac:dyDescent="0.2">
      <c r="A51" s="32" t="s">
        <v>53</v>
      </c>
      <c r="B51" s="46">
        <v>0</v>
      </c>
      <c r="C51" s="44">
        <v>0</v>
      </c>
      <c r="D51" s="44">
        <v>0</v>
      </c>
      <c r="E51" s="44">
        <v>0</v>
      </c>
      <c r="F51" s="44">
        <v>0</v>
      </c>
    </row>
    <row r="52" spans="1:7" x14ac:dyDescent="0.2">
      <c r="A52" s="32" t="s">
        <v>54</v>
      </c>
      <c r="B52" s="46">
        <v>0</v>
      </c>
      <c r="C52" s="44">
        <v>0</v>
      </c>
      <c r="D52" s="44">
        <v>0</v>
      </c>
      <c r="E52" s="44">
        <v>0</v>
      </c>
      <c r="F52" s="44">
        <f t="shared" si="0"/>
        <v>0</v>
      </c>
    </row>
    <row r="53" spans="1:7" x14ac:dyDescent="0.2">
      <c r="A53" s="32" t="s">
        <v>55</v>
      </c>
      <c r="B53" s="46">
        <v>0</v>
      </c>
      <c r="C53" s="44">
        <v>0</v>
      </c>
      <c r="D53" s="44">
        <v>0</v>
      </c>
      <c r="E53" s="44">
        <v>0</v>
      </c>
      <c r="F53" s="44">
        <f t="shared" si="0"/>
        <v>0</v>
      </c>
    </row>
    <row r="54" spans="1:7" x14ac:dyDescent="0.2">
      <c r="A54" s="32" t="s">
        <v>56</v>
      </c>
      <c r="B54" s="46">
        <v>0</v>
      </c>
      <c r="C54" s="44">
        <v>0</v>
      </c>
      <c r="D54" s="44">
        <v>0</v>
      </c>
      <c r="E54" s="44">
        <v>0</v>
      </c>
      <c r="F54" s="44">
        <f t="shared" si="0"/>
        <v>0</v>
      </c>
    </row>
    <row r="55" spans="1:7" s="17" customFormat="1" ht="15" x14ac:dyDescent="0.25">
      <c r="A55" s="34" t="s">
        <v>57</v>
      </c>
      <c r="B55" s="47">
        <v>1265.1771182264783</v>
      </c>
      <c r="C55" s="45">
        <v>1259.3145384190161</v>
      </c>
      <c r="D55" s="43">
        <v>24.401580944631469</v>
      </c>
      <c r="E55" s="45">
        <v>30.729265643982838</v>
      </c>
      <c r="F55" s="37">
        <f t="shared" si="0"/>
        <v>0.836307033637678</v>
      </c>
      <c r="G55" s="23"/>
    </row>
    <row r="56" spans="1:7" s="17" customFormat="1" ht="15.75" thickBot="1" x14ac:dyDescent="0.3">
      <c r="A56" s="36" t="s">
        <v>0</v>
      </c>
      <c r="B56" s="47">
        <v>1060000</v>
      </c>
      <c r="C56" s="45">
        <v>1045000</v>
      </c>
      <c r="D56" s="43">
        <v>80.095694172422512</v>
      </c>
      <c r="E56" s="45">
        <v>83700.000410181528</v>
      </c>
      <c r="F56" s="38">
        <f t="shared" si="0"/>
        <v>2277.9229373552562</v>
      </c>
    </row>
    <row r="57" spans="1:7" s="22" customFormat="1" x14ac:dyDescent="0.2">
      <c r="A57" s="20"/>
      <c r="B57" s="20"/>
      <c r="C57" s="16"/>
      <c r="D57" s="20"/>
      <c r="E57" s="15"/>
      <c r="F57" s="21"/>
      <c r="G57" s="20"/>
    </row>
    <row r="58" spans="1:7" ht="15" x14ac:dyDescent="0.2">
      <c r="A58" t="s">
        <v>66</v>
      </c>
      <c r="B58" s="6"/>
      <c r="C58" s="6"/>
      <c r="D58" s="8"/>
      <c r="E58" s="12"/>
      <c r="F58" s="14"/>
      <c r="G58" s="3"/>
    </row>
    <row r="59" spans="1:7" ht="15" x14ac:dyDescent="0.25">
      <c r="A59" s="17" t="s">
        <v>60</v>
      </c>
      <c r="B59" s="6"/>
      <c r="C59" s="6"/>
      <c r="D59" s="8"/>
      <c r="E59" s="6"/>
      <c r="F59" s="7"/>
      <c r="G59" s="3"/>
    </row>
    <row r="60" spans="1:7" x14ac:dyDescent="0.2">
      <c r="A60" s="41" t="s">
        <v>72</v>
      </c>
      <c r="B60" s="6"/>
      <c r="C60" s="6"/>
      <c r="D60" s="8"/>
      <c r="E60" s="6"/>
      <c r="F60" s="7"/>
      <c r="G60" s="3"/>
    </row>
    <row r="61" spans="1:7" x14ac:dyDescent="0.2">
      <c r="A61" s="3"/>
      <c r="B61" s="6"/>
      <c r="C61" s="6"/>
      <c r="D61" s="8"/>
      <c r="E61" s="6"/>
      <c r="F61" s="7"/>
      <c r="G61" s="3"/>
    </row>
    <row r="62" spans="1:7" x14ac:dyDescent="0.2">
      <c r="A62" s="3"/>
      <c r="B62" s="6"/>
      <c r="C62" s="6"/>
      <c r="D62" s="8"/>
      <c r="E62" s="6"/>
      <c r="F62" s="7"/>
      <c r="G62" s="3"/>
    </row>
    <row r="63" spans="1:7" x14ac:dyDescent="0.2">
      <c r="A63" s="3"/>
      <c r="B63" s="6"/>
      <c r="C63" s="6"/>
      <c r="D63" s="8"/>
      <c r="E63" s="6"/>
      <c r="F63" s="7"/>
      <c r="G63" s="3"/>
    </row>
    <row r="64" spans="1:7" x14ac:dyDescent="0.2">
      <c r="A64" s="3"/>
      <c r="B64" s="6"/>
      <c r="C64" s="6"/>
      <c r="D64" s="8"/>
      <c r="E64" s="6"/>
      <c r="F64" s="7"/>
      <c r="G64" s="3"/>
    </row>
    <row r="65" spans="1:7" x14ac:dyDescent="0.2">
      <c r="A65" s="3"/>
      <c r="B65" s="6"/>
      <c r="C65" s="6"/>
      <c r="D65" s="8"/>
      <c r="E65" s="6"/>
      <c r="F65" s="7"/>
      <c r="G65" s="3"/>
    </row>
    <row r="66" spans="1:7" x14ac:dyDescent="0.2">
      <c r="A66" s="3"/>
      <c r="B66" s="6"/>
      <c r="C66" s="6"/>
      <c r="D66" s="8"/>
      <c r="E66" s="6"/>
      <c r="F66" s="7"/>
      <c r="G66" s="3"/>
    </row>
    <row r="67" spans="1:7" x14ac:dyDescent="0.2">
      <c r="A67" s="3"/>
      <c r="B67" s="6"/>
      <c r="C67" s="6"/>
      <c r="D67" s="8"/>
      <c r="E67" s="6"/>
      <c r="F67" s="7"/>
      <c r="G67" s="3"/>
    </row>
    <row r="68" spans="1:7" x14ac:dyDescent="0.2">
      <c r="A68" s="3"/>
      <c r="B68" s="3"/>
      <c r="C68" s="3"/>
      <c r="D68" s="3"/>
      <c r="E68" s="6"/>
      <c r="F68" s="7"/>
      <c r="G68" s="3"/>
    </row>
    <row r="69" spans="1:7" x14ac:dyDescent="0.2">
      <c r="A69" s="3"/>
      <c r="B69" s="3"/>
      <c r="C69" s="3"/>
      <c r="D69" s="3"/>
      <c r="E69" s="6"/>
      <c r="F69" s="7"/>
      <c r="G69" s="3"/>
    </row>
    <row r="70" spans="1:7" x14ac:dyDescent="0.2">
      <c r="A70" s="3"/>
      <c r="B70" s="3"/>
      <c r="C70" s="3"/>
      <c r="D70" s="3"/>
      <c r="E70" s="6"/>
      <c r="F70" s="7"/>
      <c r="G70" s="3"/>
    </row>
    <row r="71" spans="1:7" x14ac:dyDescent="0.2">
      <c r="A71" s="3"/>
      <c r="B71" s="3"/>
      <c r="C71" s="3"/>
      <c r="D71" s="3"/>
      <c r="E71" s="6"/>
      <c r="F71" s="7"/>
      <c r="G71" s="3"/>
    </row>
    <row r="72" spans="1:7" x14ac:dyDescent="0.2">
      <c r="A72" s="3"/>
      <c r="B72" s="3"/>
      <c r="C72" s="3"/>
      <c r="D72" s="3"/>
      <c r="E72" s="3"/>
      <c r="F72" s="3"/>
      <c r="G72" s="3"/>
    </row>
    <row r="73" spans="1:7" x14ac:dyDescent="0.2">
      <c r="A73" s="3"/>
      <c r="B73" s="3"/>
      <c r="C73" s="3"/>
      <c r="D73" s="3"/>
      <c r="E73" s="3"/>
      <c r="F73" s="3"/>
      <c r="G73" s="3"/>
    </row>
    <row r="74" spans="1:7" x14ac:dyDescent="0.2">
      <c r="A74" s="3"/>
      <c r="B74" s="3"/>
      <c r="C74" s="3"/>
      <c r="D74" s="3"/>
      <c r="E74" s="3"/>
      <c r="F74" s="3"/>
      <c r="G74" s="3"/>
    </row>
    <row r="75" spans="1:7" x14ac:dyDescent="0.2">
      <c r="A75" s="3"/>
      <c r="B75" s="3"/>
      <c r="C75" s="3"/>
      <c r="D75" s="3"/>
      <c r="E75" s="3"/>
      <c r="F75" s="3"/>
      <c r="G75" s="3"/>
    </row>
    <row r="76" spans="1:7" x14ac:dyDescent="0.2">
      <c r="A76" s="3"/>
      <c r="B76" s="3"/>
      <c r="C76" s="3"/>
      <c r="D76" s="3"/>
      <c r="E76" s="3"/>
      <c r="F76" s="3"/>
      <c r="G76" s="3"/>
    </row>
    <row r="77" spans="1:7" x14ac:dyDescent="0.2">
      <c r="A77" s="3"/>
      <c r="B77" s="3"/>
      <c r="C77" s="3"/>
      <c r="D77" s="3"/>
      <c r="E77" s="3"/>
      <c r="F77" s="3"/>
      <c r="G77" s="3"/>
    </row>
    <row r="78" spans="1:7" x14ac:dyDescent="0.2">
      <c r="A78" s="3"/>
      <c r="E78" s="3"/>
      <c r="F78" s="3"/>
      <c r="G78" s="3"/>
    </row>
    <row r="79" spans="1:7" x14ac:dyDescent="0.2">
      <c r="A79" s="3"/>
      <c r="E79" s="3"/>
      <c r="F79" s="3"/>
      <c r="G79" s="3"/>
    </row>
    <row r="80" spans="1:7" x14ac:dyDescent="0.2">
      <c r="A80" s="3"/>
      <c r="E80" s="3"/>
      <c r="F80" s="3"/>
      <c r="G80" s="3"/>
    </row>
    <row r="81" spans="1:7" x14ac:dyDescent="0.2">
      <c r="A81" s="3"/>
      <c r="E81" s="3"/>
      <c r="F81" s="3"/>
      <c r="G81" s="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81"/>
  <sheetViews>
    <sheetView workbookViewId="0">
      <selection sqref="A1:F1"/>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6384" width="9.77734375" style="1"/>
  </cols>
  <sheetData>
    <row r="1" spans="1:16" ht="15.75" thickBot="1" x14ac:dyDescent="0.3">
      <c r="A1" s="80" t="s">
        <v>73</v>
      </c>
      <c r="B1" s="81"/>
      <c r="C1" s="81"/>
      <c r="D1" s="81"/>
      <c r="E1" s="81"/>
      <c r="F1" s="81"/>
      <c r="G1" s="3"/>
      <c r="H1" s="3"/>
      <c r="I1" s="3"/>
      <c r="J1" s="3"/>
      <c r="K1" s="3"/>
      <c r="L1" s="3"/>
      <c r="M1" s="3"/>
      <c r="N1" s="3"/>
      <c r="O1" s="3"/>
      <c r="P1" s="3"/>
    </row>
    <row r="2" spans="1:16" ht="47.25" customHeight="1" thickBot="1" x14ac:dyDescent="0.3">
      <c r="A2" s="28"/>
      <c r="B2" s="39" t="s">
        <v>59</v>
      </c>
      <c r="C2" s="29" t="s">
        <v>2</v>
      </c>
      <c r="D2" s="30" t="s">
        <v>3</v>
      </c>
      <c r="E2" s="29" t="s">
        <v>4</v>
      </c>
      <c r="F2" s="31" t="s">
        <v>1</v>
      </c>
      <c r="G2" s="3"/>
      <c r="H2" s="3"/>
      <c r="I2" s="3"/>
      <c r="J2" s="3"/>
      <c r="K2" s="3"/>
      <c r="L2" s="3"/>
      <c r="M2" s="3"/>
      <c r="N2" s="3"/>
      <c r="O2" s="3"/>
      <c r="P2" s="3"/>
    </row>
    <row r="3" spans="1:16" x14ac:dyDescent="0.2">
      <c r="A3" s="32" t="s">
        <v>5</v>
      </c>
      <c r="B3" s="52">
        <v>5149.5894516028984</v>
      </c>
      <c r="C3" s="52">
        <v>4957.6918402332985</v>
      </c>
      <c r="D3" s="53">
        <v>81.965779752394099</v>
      </c>
      <c r="E3" s="52">
        <v>406.36107745680391</v>
      </c>
      <c r="F3" s="33">
        <f>+E3/36.744</f>
        <v>11.05924987635543</v>
      </c>
      <c r="G3" s="16"/>
      <c r="H3" s="3"/>
      <c r="I3" s="3"/>
      <c r="J3" s="3"/>
      <c r="K3" s="3"/>
      <c r="L3" s="3"/>
      <c r="M3" s="3"/>
      <c r="N3" s="3"/>
      <c r="O3" s="3"/>
      <c r="P3" s="3"/>
    </row>
    <row r="4" spans="1:16" x14ac:dyDescent="0.2">
      <c r="A4" s="32" t="s">
        <v>6</v>
      </c>
      <c r="B4" s="52">
        <v>54725.000673579489</v>
      </c>
      <c r="C4" s="52">
        <v>52685.693072428716</v>
      </c>
      <c r="D4" s="53">
        <v>79.140925455500692</v>
      </c>
      <c r="E4" s="52">
        <v>4169.5945080164702</v>
      </c>
      <c r="F4" s="33">
        <f t="shared" ref="F4:F56" si="0">+E4/36.744</f>
        <v>113.47688079731303</v>
      </c>
      <c r="G4" s="16"/>
      <c r="H4" s="3"/>
      <c r="I4" s="3"/>
      <c r="J4" s="3"/>
      <c r="K4" s="3"/>
      <c r="L4" s="3"/>
      <c r="M4" s="3"/>
      <c r="N4" s="3"/>
      <c r="O4" s="3"/>
      <c r="P4" s="3"/>
    </row>
    <row r="5" spans="1:16" x14ac:dyDescent="0.2">
      <c r="A5" s="32" t="s">
        <v>7</v>
      </c>
      <c r="B5" s="52">
        <v>22782.037307871695</v>
      </c>
      <c r="C5" s="52">
        <v>21933.072825828785</v>
      </c>
      <c r="D5" s="53">
        <v>89.571841586825883</v>
      </c>
      <c r="E5" s="52">
        <v>1964.5857246674514</v>
      </c>
      <c r="F5" s="33">
        <f t="shared" si="0"/>
        <v>53.46684423762931</v>
      </c>
      <c r="H5" s="3"/>
      <c r="I5" s="3"/>
      <c r="J5" s="3"/>
      <c r="K5" s="3"/>
      <c r="L5" s="3"/>
      <c r="M5" s="3"/>
      <c r="N5" s="3"/>
      <c r="O5" s="3"/>
      <c r="P5" s="3"/>
    </row>
    <row r="6" spans="1:16" x14ac:dyDescent="0.2">
      <c r="A6" s="32" t="s">
        <v>8</v>
      </c>
      <c r="B6" s="52">
        <v>38144.205620243003</v>
      </c>
      <c r="C6" s="52">
        <v>36722.775423737323</v>
      </c>
      <c r="D6" s="53">
        <v>71.038689388785102</v>
      </c>
      <c r="E6" s="52">
        <v>2608.737836820987</v>
      </c>
      <c r="F6" s="33">
        <f t="shared" si="0"/>
        <v>70.99765504084985</v>
      </c>
      <c r="H6" s="3"/>
      <c r="I6" s="3"/>
      <c r="J6" s="3"/>
      <c r="K6" s="3"/>
      <c r="L6" s="3"/>
      <c r="M6" s="3"/>
      <c r="N6" s="3"/>
      <c r="O6" s="3"/>
      <c r="P6" s="3"/>
    </row>
    <row r="7" spans="1:16" x14ac:dyDescent="0.2">
      <c r="A7" s="32" t="s">
        <v>9</v>
      </c>
      <c r="B7" s="52">
        <v>18697.684979583442</v>
      </c>
      <c r="C7" s="52">
        <v>18000.922428035479</v>
      </c>
      <c r="D7" s="53">
        <v>53.894633464277582</v>
      </c>
      <c r="E7" s="52">
        <v>970.15311627786582</v>
      </c>
      <c r="F7" s="33">
        <f t="shared" si="0"/>
        <v>26.40303495204294</v>
      </c>
      <c r="H7" s="3"/>
      <c r="I7" s="3"/>
      <c r="J7" s="3"/>
      <c r="K7" s="3"/>
      <c r="L7" s="3"/>
      <c r="M7" s="3"/>
      <c r="N7" s="3"/>
      <c r="O7" s="3"/>
      <c r="P7" s="3"/>
    </row>
    <row r="8" spans="1:16" x14ac:dyDescent="0.2">
      <c r="A8" s="32" t="s">
        <v>10</v>
      </c>
      <c r="B8" s="52">
        <v>8778.8670470829802</v>
      </c>
      <c r="C8" s="52">
        <v>8451.7257025740237</v>
      </c>
      <c r="D8" s="53">
        <v>55.051453518800905</v>
      </c>
      <c r="E8" s="52">
        <v>465.2797846689088</v>
      </c>
      <c r="F8" s="33">
        <f t="shared" si="0"/>
        <v>12.662741799175615</v>
      </c>
      <c r="H8" s="3"/>
      <c r="I8" s="3"/>
      <c r="J8" s="3"/>
      <c r="K8" s="3"/>
      <c r="L8" s="3"/>
      <c r="M8" s="3"/>
      <c r="N8" s="3"/>
      <c r="O8" s="3"/>
      <c r="P8" s="3"/>
    </row>
    <row r="9" spans="1:16" x14ac:dyDescent="0.2">
      <c r="A9" s="32" t="s">
        <v>11</v>
      </c>
      <c r="B9" s="52">
        <v>68476.294993945776</v>
      </c>
      <c r="C9" s="52">
        <v>65924.550322205381</v>
      </c>
      <c r="D9" s="53">
        <v>86.1687722606801</v>
      </c>
      <c r="E9" s="52">
        <v>5680.6375631018609</v>
      </c>
      <c r="F9" s="33">
        <f t="shared" si="0"/>
        <v>154.60041266878568</v>
      </c>
      <c r="H9" s="3"/>
      <c r="I9" s="3"/>
      <c r="J9" s="3"/>
      <c r="K9" s="3"/>
      <c r="L9" s="3"/>
      <c r="M9" s="3"/>
      <c r="N9" s="3"/>
      <c r="O9" s="3"/>
      <c r="P9" s="3"/>
    </row>
    <row r="10" spans="1:16" x14ac:dyDescent="0.2">
      <c r="A10" s="32" t="s">
        <v>12</v>
      </c>
      <c r="B10" s="52">
        <v>53412.981729985782</v>
      </c>
      <c r="C10" s="52">
        <v>51422.566046086577</v>
      </c>
      <c r="D10" s="53">
        <v>93.021386310900766</v>
      </c>
      <c r="E10" s="52">
        <v>4783.3983812708284</v>
      </c>
      <c r="F10" s="33">
        <f t="shared" si="0"/>
        <v>130.18175433460777</v>
      </c>
      <c r="H10" s="3"/>
      <c r="I10" s="3"/>
      <c r="J10" s="3"/>
      <c r="K10" s="3"/>
      <c r="L10" s="3"/>
      <c r="M10" s="3"/>
      <c r="N10" s="3"/>
      <c r="O10" s="3"/>
      <c r="P10" s="3"/>
    </row>
    <row r="11" spans="1:16" x14ac:dyDescent="0.2">
      <c r="A11" s="32" t="s">
        <v>13</v>
      </c>
      <c r="B11" s="52">
        <v>10242.011554930143</v>
      </c>
      <c r="C11" s="52">
        <v>9860.3466530030255</v>
      </c>
      <c r="D11" s="53">
        <v>52.511114788051323</v>
      </c>
      <c r="E11" s="52">
        <v>517.77779494581955</v>
      </c>
      <c r="F11" s="33">
        <f t="shared" si="0"/>
        <v>14.091492351018385</v>
      </c>
      <c r="H11" s="3"/>
      <c r="I11" s="3"/>
      <c r="J11" s="3"/>
      <c r="K11" s="3"/>
      <c r="L11" s="3"/>
      <c r="M11" s="3"/>
      <c r="N11" s="3"/>
      <c r="O11" s="3"/>
      <c r="P11" s="3"/>
    </row>
    <row r="12" spans="1:16" x14ac:dyDescent="0.2">
      <c r="A12" s="32" t="s">
        <v>14</v>
      </c>
      <c r="B12" s="52">
        <v>21776.231586229755</v>
      </c>
      <c r="C12" s="52">
        <v>20964.748095108342</v>
      </c>
      <c r="D12" s="53">
        <v>103.16857360853047</v>
      </c>
      <c r="E12" s="52">
        <v>2162.9031570344837</v>
      </c>
      <c r="F12" s="33">
        <f t="shared" si="0"/>
        <v>58.864118142675913</v>
      </c>
      <c r="H12" s="3"/>
      <c r="I12" s="3"/>
      <c r="J12" s="3"/>
      <c r="K12" s="3"/>
      <c r="L12" s="3"/>
      <c r="M12" s="3"/>
      <c r="N12" s="3"/>
      <c r="O12" s="3"/>
      <c r="P12" s="3"/>
    </row>
    <row r="13" spans="1:16" s="17" customFormat="1" ht="15" x14ac:dyDescent="0.25">
      <c r="A13" s="34" t="s">
        <v>15</v>
      </c>
      <c r="B13" s="54">
        <v>302184.90494505496</v>
      </c>
      <c r="C13" s="54">
        <v>290924.0924092409</v>
      </c>
      <c r="D13" s="55">
        <v>81.565705843576055</v>
      </c>
      <c r="E13" s="54">
        <v>23729.428944261479</v>
      </c>
      <c r="F13" s="33">
        <f t="shared" si="0"/>
        <v>645.80418420045396</v>
      </c>
      <c r="G13" s="23"/>
      <c r="H13" s="9"/>
      <c r="I13" s="9"/>
      <c r="J13" s="9"/>
      <c r="K13" s="9"/>
      <c r="L13" s="9"/>
      <c r="M13" s="9"/>
      <c r="N13" s="9"/>
      <c r="O13" s="9"/>
      <c r="P13" s="9"/>
    </row>
    <row r="14" spans="1:16" x14ac:dyDescent="0.2">
      <c r="A14" s="32" t="s">
        <v>16</v>
      </c>
      <c r="B14" s="52">
        <v>46443.127996968498</v>
      </c>
      <c r="C14" s="52">
        <v>44851.084651865654</v>
      </c>
      <c r="D14" s="53">
        <v>85.649471999877235</v>
      </c>
      <c r="E14" s="52">
        <v>3841.471719054091</v>
      </c>
      <c r="F14" s="33">
        <f t="shared" si="0"/>
        <v>104.5469115788725</v>
      </c>
      <c r="H14" s="3"/>
      <c r="I14" s="3"/>
      <c r="J14" s="3"/>
      <c r="K14" s="3"/>
      <c r="L14" s="3"/>
      <c r="M14" s="3"/>
      <c r="N14" s="3"/>
      <c r="O14" s="3"/>
      <c r="P14" s="3"/>
    </row>
    <row r="15" spans="1:16" x14ac:dyDescent="0.2">
      <c r="A15" s="32" t="s">
        <v>17</v>
      </c>
      <c r="B15" s="52">
        <v>14189.779334311996</v>
      </c>
      <c r="C15" s="52">
        <v>13703.361973294801</v>
      </c>
      <c r="D15" s="53">
        <v>51.716968303846727</v>
      </c>
      <c r="E15" s="52">
        <v>708.69633682902577</v>
      </c>
      <c r="F15" s="33">
        <f t="shared" si="0"/>
        <v>19.287403027134385</v>
      </c>
      <c r="H15" s="3"/>
      <c r="I15" s="3"/>
      <c r="J15" s="3"/>
      <c r="K15" s="3"/>
      <c r="L15" s="3"/>
      <c r="M15" s="3"/>
      <c r="N15" s="3"/>
      <c r="O15" s="3"/>
      <c r="P15" s="3"/>
    </row>
    <row r="16" spans="1:16" x14ac:dyDescent="0.2">
      <c r="A16" s="32" t="s">
        <v>18</v>
      </c>
      <c r="B16" s="52">
        <v>16132.321255517805</v>
      </c>
      <c r="C16" s="52">
        <v>15579.314690206686</v>
      </c>
      <c r="D16" s="53">
        <v>70.739160766511887</v>
      </c>
      <c r="E16" s="52">
        <v>1102.0676465026111</v>
      </c>
      <c r="F16" s="33">
        <f t="shared" si="0"/>
        <v>29.993132116879249</v>
      </c>
      <c r="H16" s="3"/>
      <c r="I16" s="3"/>
      <c r="J16" s="3"/>
      <c r="K16" s="3"/>
      <c r="L16" s="3"/>
      <c r="M16" s="3"/>
      <c r="N16" s="3"/>
      <c r="O16" s="3"/>
      <c r="P16" s="3"/>
    </row>
    <row r="17" spans="1:16" x14ac:dyDescent="0.2">
      <c r="A17" s="32" t="s">
        <v>19</v>
      </c>
      <c r="B17" s="52">
        <v>8806.3782736059784</v>
      </c>
      <c r="C17" s="52">
        <v>8504.5007616979128</v>
      </c>
      <c r="D17" s="53">
        <v>51.241987742035022</v>
      </c>
      <c r="E17" s="52">
        <v>435.78752378305194</v>
      </c>
      <c r="F17" s="33">
        <f t="shared" si="0"/>
        <v>11.860100255362832</v>
      </c>
      <c r="H17" s="3"/>
      <c r="I17" s="3"/>
      <c r="J17" s="3"/>
      <c r="K17" s="3"/>
      <c r="L17" s="3"/>
      <c r="M17" s="3"/>
      <c r="N17" s="3"/>
      <c r="O17" s="3"/>
      <c r="P17" s="3"/>
    </row>
    <row r="18" spans="1:16" x14ac:dyDescent="0.2">
      <c r="A18" s="32" t="s">
        <v>20</v>
      </c>
      <c r="B18" s="52">
        <v>85765.484590912223</v>
      </c>
      <c r="C18" s="52">
        <v>82825.493792028166</v>
      </c>
      <c r="D18" s="53">
        <v>89.605943985673662</v>
      </c>
      <c r="E18" s="52">
        <v>7421.6565573142379</v>
      </c>
      <c r="F18" s="33">
        <f t="shared" si="0"/>
        <v>201.98281508040054</v>
      </c>
      <c r="H18" s="3"/>
      <c r="I18" s="3"/>
      <c r="J18" s="3"/>
      <c r="K18" s="3"/>
      <c r="L18" s="3"/>
      <c r="M18" s="3"/>
      <c r="N18" s="3"/>
      <c r="O18" s="3"/>
      <c r="P18" s="3"/>
    </row>
    <row r="19" spans="1:16" x14ac:dyDescent="0.2">
      <c r="A19" s="32" t="s">
        <v>21</v>
      </c>
      <c r="B19" s="52">
        <v>4787.6505587083057</v>
      </c>
      <c r="C19" s="52">
        <v>4623.5326894044338</v>
      </c>
      <c r="D19" s="53">
        <v>84.660467551368228</v>
      </c>
      <c r="E19" s="52">
        <v>391.43043922401432</v>
      </c>
      <c r="F19" s="33">
        <f t="shared" si="0"/>
        <v>10.652907664489831</v>
      </c>
      <c r="H19" s="3"/>
      <c r="I19" s="3"/>
      <c r="J19" s="3"/>
      <c r="K19" s="3"/>
      <c r="L19" s="3"/>
      <c r="M19" s="3"/>
      <c r="N19" s="3"/>
      <c r="O19" s="3"/>
      <c r="P19" s="3"/>
    </row>
    <row r="20" spans="1:16" x14ac:dyDescent="0.2">
      <c r="A20" s="32" t="s">
        <v>22</v>
      </c>
      <c r="B20" s="52">
        <v>74561.98699884153</v>
      </c>
      <c r="C20" s="52">
        <v>72006.045564257307</v>
      </c>
      <c r="D20" s="53">
        <v>85.942099068967622</v>
      </c>
      <c r="E20" s="52">
        <v>6188.3507014479983</v>
      </c>
      <c r="F20" s="33">
        <f t="shared" si="0"/>
        <v>168.41799209253207</v>
      </c>
      <c r="H20" s="3"/>
      <c r="I20" s="3"/>
      <c r="J20" s="3"/>
      <c r="K20" s="3"/>
      <c r="L20" s="3"/>
      <c r="M20" s="3"/>
      <c r="N20" s="3"/>
      <c r="O20" s="3"/>
      <c r="P20" s="3"/>
    </row>
    <row r="21" spans="1:16" x14ac:dyDescent="0.2">
      <c r="A21" s="32" t="s">
        <v>23</v>
      </c>
      <c r="B21" s="52">
        <v>58627.308089958024</v>
      </c>
      <c r="C21" s="52">
        <v>56617.598156294553</v>
      </c>
      <c r="D21" s="53">
        <v>82.54280518452893</v>
      </c>
      <c r="E21" s="52">
        <v>4673.3753746309649</v>
      </c>
      <c r="F21" s="33">
        <f t="shared" si="0"/>
        <v>127.18744215738529</v>
      </c>
      <c r="H21" s="3"/>
      <c r="I21" s="3"/>
      <c r="J21" s="3"/>
      <c r="K21" s="3"/>
      <c r="L21" s="3"/>
      <c r="M21" s="3"/>
      <c r="N21" s="3"/>
      <c r="O21" s="3"/>
      <c r="P21" s="3"/>
    </row>
    <row r="22" spans="1:16" x14ac:dyDescent="0.2">
      <c r="A22" s="32" t="s">
        <v>24</v>
      </c>
      <c r="B22" s="52">
        <v>14604.828262244051</v>
      </c>
      <c r="C22" s="52">
        <v>14104.183266007078</v>
      </c>
      <c r="D22" s="53">
        <v>78.409499014894564</v>
      </c>
      <c r="E22" s="52">
        <v>1105.9019439018743</v>
      </c>
      <c r="F22" s="33">
        <f t="shared" si="0"/>
        <v>30.097483776994185</v>
      </c>
      <c r="H22" s="3"/>
      <c r="I22" s="3"/>
      <c r="J22" s="3"/>
      <c r="K22" s="3"/>
      <c r="L22" s="3"/>
      <c r="M22" s="3"/>
      <c r="N22" s="3"/>
      <c r="O22" s="3"/>
      <c r="P22" s="3"/>
    </row>
    <row r="23" spans="1:16" x14ac:dyDescent="0.2">
      <c r="A23" s="32" t="s">
        <v>25</v>
      </c>
      <c r="B23" s="52">
        <v>56170.89606750301</v>
      </c>
      <c r="C23" s="52">
        <v>54245.390505548428</v>
      </c>
      <c r="D23" s="53">
        <v>76.244203462346306</v>
      </c>
      <c r="E23" s="52">
        <v>4135.8965905994628</v>
      </c>
      <c r="F23" s="33">
        <f t="shared" si="0"/>
        <v>112.55978093292681</v>
      </c>
      <c r="H23" s="3"/>
      <c r="I23" s="3"/>
      <c r="J23" s="3"/>
      <c r="K23" s="3"/>
      <c r="L23" s="3"/>
      <c r="M23" s="3"/>
      <c r="N23" s="3"/>
      <c r="O23" s="3"/>
      <c r="P23" s="3"/>
    </row>
    <row r="24" spans="1:16" s="17" customFormat="1" ht="15" x14ac:dyDescent="0.25">
      <c r="A24" s="34" t="s">
        <v>26</v>
      </c>
      <c r="B24" s="54">
        <v>380089.76142857142</v>
      </c>
      <c r="C24" s="54">
        <v>367060.50605060504</v>
      </c>
      <c r="D24" s="55">
        <v>81.743021487445787</v>
      </c>
      <c r="E24" s="54">
        <v>30004.634833287331</v>
      </c>
      <c r="F24" s="37">
        <f t="shared" si="0"/>
        <v>816.58596868297764</v>
      </c>
      <c r="G24" s="23"/>
      <c r="H24" s="9"/>
      <c r="I24" s="9"/>
      <c r="J24" s="9"/>
      <c r="K24" s="9"/>
      <c r="L24" s="9"/>
      <c r="M24" s="9"/>
      <c r="N24" s="9"/>
      <c r="O24" s="9"/>
      <c r="P24" s="9"/>
    </row>
    <row r="25" spans="1:16" x14ac:dyDescent="0.2">
      <c r="A25" s="32" t="s">
        <v>27</v>
      </c>
      <c r="B25" s="52">
        <v>24670.33190410848</v>
      </c>
      <c r="C25" s="52">
        <v>23824.647312580153</v>
      </c>
      <c r="D25" s="53">
        <v>77.996044021035232</v>
      </c>
      <c r="E25" s="52">
        <v>1858.2282405776402</v>
      </c>
      <c r="F25" s="33">
        <f t="shared" si="0"/>
        <v>50.572290457697591</v>
      </c>
      <c r="H25" s="3"/>
      <c r="I25" s="3"/>
      <c r="J25" s="3"/>
      <c r="K25" s="3"/>
      <c r="L25" s="3"/>
      <c r="M25" s="3"/>
      <c r="N25" s="3"/>
      <c r="O25" s="3"/>
      <c r="P25" s="3"/>
    </row>
    <row r="26" spans="1:16" x14ac:dyDescent="0.2">
      <c r="A26" s="32" t="s">
        <v>28</v>
      </c>
      <c r="B26" s="40">
        <v>0</v>
      </c>
      <c r="C26" s="40">
        <v>0</v>
      </c>
      <c r="D26" s="56" t="s">
        <v>64</v>
      </c>
      <c r="E26" s="40">
        <v>0</v>
      </c>
      <c r="F26" s="40">
        <f t="shared" si="0"/>
        <v>0</v>
      </c>
      <c r="G26" s="40"/>
      <c r="H26" s="40"/>
      <c r="I26" s="3"/>
      <c r="J26" s="3"/>
      <c r="K26" s="3"/>
      <c r="L26" s="3"/>
      <c r="M26" s="3"/>
      <c r="N26" s="3"/>
      <c r="O26" s="3"/>
      <c r="P26" s="3"/>
    </row>
    <row r="27" spans="1:16" x14ac:dyDescent="0.2">
      <c r="A27" s="32" t="s">
        <v>29</v>
      </c>
      <c r="B27" s="52">
        <v>6834.4869148581265</v>
      </c>
      <c r="C27" s="52">
        <v>6600.2046888482309</v>
      </c>
      <c r="D27" s="53">
        <v>59.928230778112066</v>
      </c>
      <c r="E27" s="52">
        <v>395.5385897760741</v>
      </c>
      <c r="F27" s="33">
        <f t="shared" si="0"/>
        <v>10.764712327892285</v>
      </c>
      <c r="H27" s="3"/>
      <c r="I27" s="3"/>
      <c r="J27" s="3"/>
      <c r="K27" s="3"/>
      <c r="L27" s="3"/>
      <c r="M27" s="3"/>
      <c r="N27" s="3"/>
      <c r="O27" s="3"/>
      <c r="P27" s="3"/>
    </row>
    <row r="28" spans="1:16" x14ac:dyDescent="0.2">
      <c r="A28" s="32" t="s">
        <v>30</v>
      </c>
      <c r="B28" s="52">
        <v>24222.721141374815</v>
      </c>
      <c r="C28" s="52">
        <v>23392.380385775305</v>
      </c>
      <c r="D28" s="53">
        <v>44.601461814678423</v>
      </c>
      <c r="E28" s="52">
        <v>1043.3343605305897</v>
      </c>
      <c r="F28" s="33">
        <f t="shared" si="0"/>
        <v>28.394686493865386</v>
      </c>
      <c r="H28" s="3"/>
      <c r="I28" s="3"/>
      <c r="J28" s="3"/>
      <c r="K28" s="3"/>
      <c r="L28" s="3"/>
      <c r="M28" s="3"/>
      <c r="N28" s="3"/>
      <c r="O28" s="3"/>
      <c r="P28" s="3"/>
    </row>
    <row r="29" spans="1:16" x14ac:dyDescent="0.2">
      <c r="A29" s="32" t="s">
        <v>31</v>
      </c>
      <c r="B29" s="40">
        <v>0</v>
      </c>
      <c r="C29" s="40">
        <v>0</v>
      </c>
      <c r="D29" s="56" t="s">
        <v>64</v>
      </c>
      <c r="E29" s="40">
        <v>0</v>
      </c>
      <c r="F29" s="40">
        <f t="shared" si="0"/>
        <v>0</v>
      </c>
      <c r="G29" s="40"/>
      <c r="H29" s="40"/>
      <c r="I29" s="3"/>
      <c r="J29" s="3"/>
      <c r="K29" s="3"/>
      <c r="L29" s="3"/>
      <c r="M29" s="3"/>
      <c r="N29" s="3"/>
      <c r="O29" s="3"/>
      <c r="P29" s="3"/>
    </row>
    <row r="30" spans="1:16" x14ac:dyDescent="0.2">
      <c r="A30" s="32" t="s">
        <v>32</v>
      </c>
      <c r="B30" s="52">
        <v>17914.056547254891</v>
      </c>
      <c r="C30" s="52">
        <v>17299.973135135995</v>
      </c>
      <c r="D30" s="53">
        <v>72.221945661201019</v>
      </c>
      <c r="E30" s="52">
        <v>1249.4377197060292</v>
      </c>
      <c r="F30" s="33">
        <f t="shared" si="0"/>
        <v>34.003856948237242</v>
      </c>
      <c r="H30" s="3"/>
      <c r="I30" s="3"/>
      <c r="J30" s="3"/>
      <c r="K30" s="3"/>
      <c r="L30" s="3"/>
      <c r="M30" s="3"/>
      <c r="N30" s="3"/>
      <c r="O30" s="3"/>
      <c r="P30" s="3"/>
    </row>
    <row r="31" spans="1:16" x14ac:dyDescent="0.2">
      <c r="A31" s="32" t="s">
        <v>33</v>
      </c>
      <c r="B31" s="40">
        <v>0</v>
      </c>
      <c r="C31" s="40">
        <v>0</v>
      </c>
      <c r="D31" s="56" t="s">
        <v>64</v>
      </c>
      <c r="E31" s="40">
        <v>0</v>
      </c>
      <c r="F31" s="40">
        <f t="shared" si="0"/>
        <v>0</v>
      </c>
      <c r="G31" s="40"/>
      <c r="H31" s="40"/>
      <c r="I31" s="3"/>
      <c r="J31" s="3"/>
      <c r="K31" s="3"/>
      <c r="L31" s="3"/>
      <c r="M31" s="3"/>
      <c r="N31" s="3"/>
      <c r="O31" s="3"/>
      <c r="P31" s="3"/>
    </row>
    <row r="32" spans="1:16" x14ac:dyDescent="0.2">
      <c r="A32" s="32" t="s">
        <v>34</v>
      </c>
      <c r="B32" s="52">
        <v>7850.0339141785953</v>
      </c>
      <c r="C32" s="52">
        <v>7580.9393292334262</v>
      </c>
      <c r="D32" s="53">
        <v>68.173837626919862</v>
      </c>
      <c r="E32" s="52">
        <v>516.82172689069034</v>
      </c>
      <c r="F32" s="33">
        <f t="shared" si="0"/>
        <v>14.06547264562079</v>
      </c>
      <c r="H32" s="3"/>
      <c r="I32" s="3"/>
      <c r="J32" s="3"/>
      <c r="K32" s="3"/>
      <c r="L32" s="3"/>
      <c r="M32" s="3"/>
      <c r="N32" s="3"/>
      <c r="O32" s="3"/>
      <c r="P32" s="3"/>
    </row>
    <row r="33" spans="1:16" x14ac:dyDescent="0.2">
      <c r="A33" s="32" t="s">
        <v>35</v>
      </c>
      <c r="B33" s="52">
        <v>8200.181043091221</v>
      </c>
      <c r="C33" s="52">
        <v>7919.0836187501227</v>
      </c>
      <c r="D33" s="53">
        <v>105.17632085769063</v>
      </c>
      <c r="E33" s="52">
        <v>832.90007958454464</v>
      </c>
      <c r="F33" s="33">
        <f t="shared" si="0"/>
        <v>22.667648584382338</v>
      </c>
      <c r="H33" s="3"/>
      <c r="I33" s="3"/>
      <c r="J33" s="3"/>
      <c r="K33" s="3"/>
      <c r="L33" s="3"/>
      <c r="M33" s="3"/>
      <c r="N33" s="3"/>
      <c r="O33" s="3"/>
      <c r="P33" s="3"/>
    </row>
    <row r="34" spans="1:16" x14ac:dyDescent="0.2">
      <c r="A34" s="32" t="s">
        <v>36</v>
      </c>
      <c r="B34" s="52">
        <v>10071.242161507485</v>
      </c>
      <c r="C34" s="52">
        <v>9726.0058531090999</v>
      </c>
      <c r="D34" s="53">
        <v>62.521445244416242</v>
      </c>
      <c r="E34" s="52">
        <v>608.08394239203244</v>
      </c>
      <c r="F34" s="33">
        <f t="shared" si="0"/>
        <v>16.54920374461225</v>
      </c>
      <c r="H34" s="3"/>
      <c r="I34" s="3"/>
      <c r="J34" s="3"/>
      <c r="K34" s="3"/>
      <c r="L34" s="3"/>
      <c r="M34" s="3"/>
      <c r="N34" s="3"/>
      <c r="O34" s="3"/>
      <c r="P34" s="3"/>
    </row>
    <row r="35" spans="1:16" s="17" customFormat="1" ht="15" x14ac:dyDescent="0.25">
      <c r="A35" s="34" t="s">
        <v>37</v>
      </c>
      <c r="B35" s="54">
        <v>99763.053626373614</v>
      </c>
      <c r="C35" s="54">
        <v>96343.234323432349</v>
      </c>
      <c r="D35" s="55">
        <v>67.512209914211198</v>
      </c>
      <c r="E35" s="54">
        <v>6504.3446594576017</v>
      </c>
      <c r="F35" s="37">
        <f t="shared" si="0"/>
        <v>177.0178712023079</v>
      </c>
      <c r="G35" s="23"/>
      <c r="H35" s="9"/>
      <c r="I35" s="9"/>
      <c r="J35" s="9"/>
      <c r="K35" s="9"/>
      <c r="L35" s="9"/>
      <c r="M35" s="9"/>
      <c r="N35" s="9"/>
      <c r="O35" s="9"/>
      <c r="P35" s="9"/>
    </row>
    <row r="36" spans="1:16" x14ac:dyDescent="0.2">
      <c r="A36" s="32" t="s">
        <v>38</v>
      </c>
      <c r="B36" s="52">
        <v>5951.7381987883118</v>
      </c>
      <c r="C36" s="52">
        <v>5747.7160840032393</v>
      </c>
      <c r="D36" s="53">
        <v>12.949719842249442</v>
      </c>
      <c r="E36" s="52">
        <v>74.431313020633013</v>
      </c>
      <c r="F36" s="33">
        <f t="shared" si="0"/>
        <v>2.0256725729543059</v>
      </c>
      <c r="H36" s="3"/>
      <c r="I36" s="3"/>
      <c r="J36" s="3"/>
      <c r="K36" s="3"/>
      <c r="L36" s="3"/>
      <c r="M36" s="3"/>
      <c r="N36" s="3"/>
      <c r="O36" s="3"/>
      <c r="P36" s="3"/>
    </row>
    <row r="37" spans="1:16" x14ac:dyDescent="0.2">
      <c r="A37" s="32" t="s">
        <v>39</v>
      </c>
      <c r="B37" s="52">
        <v>5486.5163489611896</v>
      </c>
      <c r="C37" s="52">
        <v>5298.4417679008493</v>
      </c>
      <c r="D37" s="53">
        <v>99.982401018308522</v>
      </c>
      <c r="E37" s="52">
        <v>529.75092961041832</v>
      </c>
      <c r="F37" s="33">
        <f t="shared" si="0"/>
        <v>14.41734513418295</v>
      </c>
      <c r="H37" s="3"/>
      <c r="I37" s="3"/>
      <c r="J37" s="3"/>
      <c r="K37" s="3"/>
      <c r="L37" s="3"/>
      <c r="M37" s="3"/>
      <c r="N37" s="3"/>
      <c r="O37" s="3"/>
      <c r="P37" s="3"/>
    </row>
    <row r="38" spans="1:16" x14ac:dyDescent="0.2">
      <c r="A38" s="32" t="s">
        <v>40</v>
      </c>
      <c r="B38" s="52">
        <v>3734.1807146123647</v>
      </c>
      <c r="C38" s="52">
        <v>3606.1751772485154</v>
      </c>
      <c r="D38" s="53">
        <v>55.921958041767006</v>
      </c>
      <c r="E38" s="52">
        <v>201.66437695335318</v>
      </c>
      <c r="F38" s="33">
        <f t="shared" si="0"/>
        <v>5.4883620986651751</v>
      </c>
      <c r="H38" s="3"/>
      <c r="I38" s="3"/>
      <c r="J38" s="3"/>
      <c r="K38" s="3"/>
      <c r="L38" s="3"/>
      <c r="M38" s="3"/>
      <c r="N38" s="3"/>
      <c r="O38" s="3"/>
      <c r="P38" s="3"/>
    </row>
    <row r="39" spans="1:16" x14ac:dyDescent="0.2">
      <c r="A39" s="32" t="s">
        <v>41</v>
      </c>
      <c r="B39" s="52">
        <v>12858.731929221647</v>
      </c>
      <c r="C39" s="52">
        <v>12417.942097070052</v>
      </c>
      <c r="D39" s="53">
        <v>103.42530386084587</v>
      </c>
      <c r="E39" s="52">
        <v>1284.3294347158599</v>
      </c>
      <c r="F39" s="33">
        <f t="shared" si="0"/>
        <v>34.953446405286847</v>
      </c>
      <c r="H39" s="3"/>
      <c r="I39" s="3"/>
      <c r="J39" s="3"/>
      <c r="K39" s="3"/>
      <c r="L39" s="3"/>
      <c r="M39" s="3"/>
      <c r="N39" s="3"/>
      <c r="O39" s="3"/>
      <c r="P39" s="3"/>
    </row>
    <row r="40" spans="1:16" x14ac:dyDescent="0.2">
      <c r="A40" s="32" t="s">
        <v>42</v>
      </c>
      <c r="B40" s="52">
        <v>8023.5261700184274</v>
      </c>
      <c r="C40" s="52">
        <v>7748.4843717125486</v>
      </c>
      <c r="D40" s="53">
        <v>74.410798702523891</v>
      </c>
      <c r="E40" s="52">
        <v>576.57091083315481</v>
      </c>
      <c r="F40" s="33">
        <f t="shared" si="0"/>
        <v>15.691566264782136</v>
      </c>
      <c r="H40" s="3"/>
      <c r="I40" s="3"/>
      <c r="J40" s="3"/>
      <c r="K40" s="3"/>
      <c r="L40" s="3"/>
      <c r="M40" s="3"/>
      <c r="N40" s="3"/>
      <c r="O40" s="3"/>
      <c r="P40" s="3"/>
    </row>
    <row r="41" spans="1:16" x14ac:dyDescent="0.2">
      <c r="A41" s="32" t="s">
        <v>43</v>
      </c>
      <c r="B41" s="52">
        <v>4447.5208843472847</v>
      </c>
      <c r="C41" s="52">
        <v>4295.0624619388464</v>
      </c>
      <c r="D41" s="40">
        <v>0</v>
      </c>
      <c r="E41" s="40">
        <v>0</v>
      </c>
      <c r="F41" s="40">
        <f t="shared" si="0"/>
        <v>0</v>
      </c>
      <c r="H41" s="3"/>
      <c r="I41" s="3"/>
      <c r="J41" s="3"/>
      <c r="K41" s="3"/>
      <c r="L41" s="3"/>
      <c r="M41" s="3"/>
      <c r="N41" s="3"/>
      <c r="O41" s="3"/>
      <c r="P41" s="3"/>
    </row>
    <row r="42" spans="1:16" x14ac:dyDescent="0.2">
      <c r="A42" s="32" t="s">
        <v>44</v>
      </c>
      <c r="B42" s="52">
        <v>9763.4558883718637</v>
      </c>
      <c r="C42" s="52">
        <v>9428.7703139354871</v>
      </c>
      <c r="D42" s="53">
        <v>47.38619388379098</v>
      </c>
      <c r="E42" s="52">
        <v>446.79353818187974</v>
      </c>
      <c r="F42" s="33">
        <f t="shared" si="0"/>
        <v>12.159632543595682</v>
      </c>
      <c r="H42" s="3"/>
      <c r="I42" s="3"/>
      <c r="J42" s="3"/>
      <c r="K42" s="3"/>
      <c r="L42" s="3"/>
      <c r="M42" s="3"/>
      <c r="N42" s="3"/>
      <c r="O42" s="3"/>
      <c r="P42" s="3"/>
    </row>
    <row r="43" spans="1:16" x14ac:dyDescent="0.2">
      <c r="A43" s="32" t="s">
        <v>45</v>
      </c>
      <c r="B43" s="52">
        <v>5033.7004151294586</v>
      </c>
      <c r="C43" s="52">
        <v>4861.1481002278579</v>
      </c>
      <c r="D43" s="53">
        <v>56.76980257493949</v>
      </c>
      <c r="E43" s="52">
        <v>275.96641793747762</v>
      </c>
      <c r="F43" s="33">
        <f t="shared" si="0"/>
        <v>7.5105164907870021</v>
      </c>
      <c r="H43" s="3"/>
      <c r="I43" s="3"/>
      <c r="J43" s="3"/>
      <c r="K43" s="3"/>
      <c r="L43" s="3"/>
      <c r="M43" s="3"/>
      <c r="N43" s="3"/>
      <c r="O43" s="3"/>
      <c r="P43" s="3"/>
    </row>
    <row r="44" spans="1:16" s="17" customFormat="1" ht="15" x14ac:dyDescent="0.25">
      <c r="A44" s="34" t="s">
        <v>46</v>
      </c>
      <c r="B44" s="54">
        <v>55299.370549450548</v>
      </c>
      <c r="C44" s="54">
        <v>53403.740374037399</v>
      </c>
      <c r="D44" s="55">
        <v>63.46946669863987</v>
      </c>
      <c r="E44" s="54">
        <v>3389.5069212527765</v>
      </c>
      <c r="F44" s="37">
        <f t="shared" si="0"/>
        <v>92.24654151025409</v>
      </c>
      <c r="G44" s="23"/>
      <c r="H44" s="9"/>
      <c r="I44" s="9"/>
      <c r="J44" s="9"/>
      <c r="K44" s="9"/>
      <c r="L44" s="9"/>
      <c r="M44" s="9"/>
      <c r="N44" s="9"/>
      <c r="O44" s="9"/>
      <c r="P44" s="9"/>
    </row>
    <row r="45" spans="1:16" x14ac:dyDescent="0.2">
      <c r="A45" s="32" t="s">
        <v>47</v>
      </c>
      <c r="B45" s="40">
        <v>0</v>
      </c>
      <c r="C45" s="40">
        <v>0</v>
      </c>
      <c r="D45" s="56" t="s">
        <v>64</v>
      </c>
      <c r="E45" s="40">
        <v>0</v>
      </c>
      <c r="F45" s="40">
        <f t="shared" si="0"/>
        <v>0</v>
      </c>
      <c r="H45" s="3"/>
      <c r="I45" s="3"/>
      <c r="J45" s="3"/>
      <c r="K45" s="3"/>
      <c r="L45" s="3"/>
      <c r="M45" s="3"/>
      <c r="N45" s="3"/>
      <c r="O45" s="3"/>
      <c r="P45" s="3"/>
    </row>
    <row r="46" spans="1:16" x14ac:dyDescent="0.2">
      <c r="A46" s="32" t="s">
        <v>48</v>
      </c>
      <c r="B46" s="40">
        <v>0</v>
      </c>
      <c r="C46" s="40">
        <v>0</v>
      </c>
      <c r="D46" s="56" t="s">
        <v>64</v>
      </c>
      <c r="E46" s="40">
        <v>0</v>
      </c>
      <c r="F46" s="40">
        <f t="shared" si="0"/>
        <v>0</v>
      </c>
      <c r="H46" s="3"/>
      <c r="I46" s="3"/>
      <c r="J46" s="3"/>
      <c r="K46" s="3"/>
      <c r="L46" s="3"/>
      <c r="M46" s="3"/>
      <c r="N46" s="3"/>
      <c r="O46" s="3"/>
      <c r="P46" s="3"/>
    </row>
    <row r="47" spans="1:16" x14ac:dyDescent="0.2">
      <c r="A47" s="35" t="s">
        <v>49</v>
      </c>
      <c r="B47" s="40">
        <v>0</v>
      </c>
      <c r="C47" s="40">
        <v>0</v>
      </c>
      <c r="D47" s="56" t="s">
        <v>64</v>
      </c>
      <c r="E47" s="40">
        <v>0</v>
      </c>
      <c r="F47" s="40">
        <f t="shared" si="0"/>
        <v>0</v>
      </c>
      <c r="G47" s="24"/>
      <c r="H47" s="3"/>
      <c r="I47" s="3"/>
      <c r="J47" s="3"/>
      <c r="K47" s="3"/>
      <c r="L47" s="3"/>
      <c r="M47" s="3"/>
      <c r="N47" s="3"/>
      <c r="O47" s="3"/>
      <c r="P47" s="3"/>
    </row>
    <row r="48" spans="1:16" x14ac:dyDescent="0.2">
      <c r="A48" s="32" t="s">
        <v>50</v>
      </c>
      <c r="B48" s="40">
        <v>0</v>
      </c>
      <c r="C48" s="40">
        <v>0</v>
      </c>
      <c r="D48" s="56" t="s">
        <v>64</v>
      </c>
      <c r="E48" s="40">
        <v>0</v>
      </c>
      <c r="F48" s="40">
        <f t="shared" si="0"/>
        <v>0</v>
      </c>
      <c r="H48" s="3"/>
      <c r="I48" s="3"/>
      <c r="J48" s="3"/>
      <c r="K48" s="3"/>
      <c r="L48" s="3"/>
      <c r="M48" s="3"/>
      <c r="N48" s="3"/>
      <c r="O48" s="3"/>
      <c r="P48" s="3"/>
    </row>
    <row r="49" spans="1:16" x14ac:dyDescent="0.2">
      <c r="A49" s="32" t="s">
        <v>51</v>
      </c>
      <c r="B49" s="40">
        <v>0</v>
      </c>
      <c r="C49" s="40">
        <v>0</v>
      </c>
      <c r="D49" s="56" t="s">
        <v>64</v>
      </c>
      <c r="E49" s="40">
        <v>0</v>
      </c>
      <c r="F49" s="40">
        <f t="shared" si="0"/>
        <v>0</v>
      </c>
      <c r="H49" s="3"/>
      <c r="I49" s="3"/>
      <c r="J49" s="3"/>
      <c r="K49" s="3"/>
      <c r="L49" s="3"/>
      <c r="M49" s="3"/>
      <c r="N49" s="3"/>
      <c r="O49" s="3"/>
      <c r="P49" s="3"/>
    </row>
    <row r="50" spans="1:16" x14ac:dyDescent="0.2">
      <c r="A50" s="32" t="s">
        <v>52</v>
      </c>
      <c r="B50" s="52">
        <v>3746.9395851339673</v>
      </c>
      <c r="C50" s="52">
        <v>3618.4966811287873</v>
      </c>
      <c r="D50" s="53">
        <v>13.039916923497337</v>
      </c>
      <c r="E50" s="52">
        <v>47.184896109870223</v>
      </c>
      <c r="F50" s="33">
        <f t="shared" si="0"/>
        <v>1.2841524088251204</v>
      </c>
      <c r="H50" s="3"/>
      <c r="I50" s="3"/>
      <c r="J50" s="3"/>
      <c r="K50" s="3"/>
      <c r="L50" s="3"/>
      <c r="M50" s="3"/>
      <c r="N50" s="3"/>
      <c r="O50" s="3"/>
      <c r="P50" s="3"/>
    </row>
    <row r="51" spans="1:16" x14ac:dyDescent="0.2">
      <c r="A51" s="32" t="s">
        <v>53</v>
      </c>
      <c r="B51" s="40">
        <v>0</v>
      </c>
      <c r="C51" s="40">
        <v>0</v>
      </c>
      <c r="D51" s="56" t="s">
        <v>64</v>
      </c>
      <c r="E51" s="40">
        <v>0</v>
      </c>
      <c r="F51" s="40">
        <f t="shared" si="0"/>
        <v>0</v>
      </c>
      <c r="H51" s="3"/>
      <c r="I51" s="3"/>
      <c r="J51" s="3"/>
      <c r="K51" s="3"/>
      <c r="L51" s="3"/>
      <c r="M51" s="3"/>
      <c r="N51" s="3"/>
      <c r="O51" s="3"/>
      <c r="P51" s="3"/>
    </row>
    <row r="52" spans="1:16" x14ac:dyDescent="0.2">
      <c r="A52" s="32" t="s">
        <v>54</v>
      </c>
      <c r="B52" s="40">
        <v>0</v>
      </c>
      <c r="C52" s="40">
        <v>0</v>
      </c>
      <c r="D52" s="56" t="s">
        <v>64</v>
      </c>
      <c r="E52" s="40">
        <v>0</v>
      </c>
      <c r="F52" s="40">
        <f t="shared" si="0"/>
        <v>0</v>
      </c>
      <c r="H52" s="3"/>
      <c r="I52" s="3"/>
      <c r="J52" s="3"/>
      <c r="K52" s="3"/>
      <c r="L52" s="3"/>
      <c r="M52" s="3"/>
      <c r="N52" s="3"/>
      <c r="O52" s="3"/>
      <c r="P52" s="3"/>
    </row>
    <row r="53" spans="1:16" x14ac:dyDescent="0.2">
      <c r="A53" s="32" t="s">
        <v>55</v>
      </c>
      <c r="B53" s="52">
        <v>8956.9698654154836</v>
      </c>
      <c r="C53" s="52">
        <v>8649.9301615554814</v>
      </c>
      <c r="D53" s="56" t="s">
        <v>64</v>
      </c>
      <c r="E53" s="40">
        <v>0</v>
      </c>
      <c r="F53" s="40">
        <f t="shared" si="0"/>
        <v>0</v>
      </c>
      <c r="H53" s="3"/>
      <c r="I53" s="3"/>
      <c r="J53" s="3"/>
      <c r="K53" s="3"/>
      <c r="L53" s="3"/>
      <c r="M53" s="3"/>
      <c r="N53" s="3"/>
      <c r="O53" s="3"/>
      <c r="P53" s="3"/>
    </row>
    <row r="54" spans="1:16" x14ac:dyDescent="0.2">
      <c r="A54" s="32" t="s">
        <v>56</v>
      </c>
      <c r="B54" s="40">
        <v>0</v>
      </c>
      <c r="C54" s="40">
        <v>0</v>
      </c>
      <c r="D54" s="56" t="s">
        <v>64</v>
      </c>
      <c r="E54" s="56" t="s">
        <v>64</v>
      </c>
      <c r="F54" s="40" t="e">
        <f t="shared" si="0"/>
        <v>#VALUE!</v>
      </c>
      <c r="H54" s="3"/>
      <c r="I54" s="3"/>
      <c r="J54" s="3"/>
      <c r="K54" s="3"/>
      <c r="L54" s="3"/>
      <c r="M54" s="3"/>
      <c r="N54" s="3"/>
      <c r="O54" s="3"/>
      <c r="P54" s="3"/>
    </row>
    <row r="55" spans="1:16" s="17" customFormat="1" ht="15" x14ac:dyDescent="0.25">
      <c r="A55" s="34" t="s">
        <v>57</v>
      </c>
      <c r="B55" s="54">
        <v>12703.90945054945</v>
      </c>
      <c r="C55" s="54">
        <v>12268.426842684268</v>
      </c>
      <c r="D55" s="55">
        <v>54.781648075896513</v>
      </c>
      <c r="E55" s="54">
        <v>672.08464174081178</v>
      </c>
      <c r="F55" s="33">
        <f t="shared" si="0"/>
        <v>18.291003748661325</v>
      </c>
      <c r="G55" s="23"/>
      <c r="H55" s="9"/>
      <c r="I55" s="9"/>
      <c r="J55" s="9"/>
      <c r="K55" s="9"/>
      <c r="L55" s="9"/>
      <c r="M55" s="9"/>
      <c r="N55" s="9"/>
      <c r="O55" s="9"/>
      <c r="P55" s="9"/>
    </row>
    <row r="56" spans="1:16" s="17" customFormat="1" ht="15.75" thickBot="1" x14ac:dyDescent="0.3">
      <c r="A56" s="36" t="s">
        <v>0</v>
      </c>
      <c r="B56" s="57">
        <v>850041</v>
      </c>
      <c r="C56" s="57">
        <v>819999.99999999988</v>
      </c>
      <c r="D56" s="58">
        <v>78.41463414634147</v>
      </c>
      <c r="E56" s="57">
        <v>64300</v>
      </c>
      <c r="F56" s="38">
        <f t="shared" si="0"/>
        <v>1749.9455693446548</v>
      </c>
      <c r="H56" s="9"/>
      <c r="I56" s="9"/>
      <c r="J56" s="9"/>
      <c r="K56" s="9"/>
      <c r="L56" s="9"/>
      <c r="M56" s="9"/>
      <c r="N56" s="9"/>
      <c r="O56" s="9"/>
      <c r="P56" s="9"/>
    </row>
    <row r="57" spans="1:16" s="22" customFormat="1" x14ac:dyDescent="0.2">
      <c r="A57" s="20"/>
      <c r="B57" s="20"/>
      <c r="C57" s="16"/>
      <c r="D57" s="20"/>
      <c r="E57" s="15"/>
      <c r="F57" s="21"/>
      <c r="G57" s="20"/>
      <c r="H57" s="20"/>
      <c r="I57" s="20"/>
      <c r="J57" s="20"/>
      <c r="K57" s="20"/>
      <c r="L57" s="20"/>
      <c r="M57" s="20"/>
      <c r="N57" s="20"/>
      <c r="O57" s="20"/>
      <c r="P57" s="20"/>
    </row>
    <row r="58" spans="1:16" ht="15" x14ac:dyDescent="0.2">
      <c r="A58" t="s">
        <v>66</v>
      </c>
      <c r="B58" s="6"/>
      <c r="C58" s="6"/>
      <c r="D58" s="8"/>
      <c r="E58" s="12"/>
      <c r="F58" s="14"/>
      <c r="G58" s="3"/>
      <c r="H58" s="3"/>
      <c r="I58" s="3"/>
      <c r="J58" s="3"/>
      <c r="K58" s="3"/>
      <c r="L58" s="3"/>
      <c r="M58" s="3"/>
      <c r="N58" s="3"/>
      <c r="O58" s="3"/>
      <c r="P58" s="3"/>
    </row>
    <row r="59" spans="1:16" ht="15" x14ac:dyDescent="0.25">
      <c r="A59" s="17" t="s">
        <v>60</v>
      </c>
      <c r="B59" s="6"/>
      <c r="C59" s="6"/>
      <c r="D59" s="8"/>
      <c r="E59" s="6"/>
      <c r="F59" s="7"/>
      <c r="G59" s="3"/>
      <c r="H59" s="3"/>
      <c r="I59" s="3"/>
      <c r="J59" s="3"/>
      <c r="K59" s="3"/>
      <c r="L59" s="3"/>
      <c r="M59" s="3"/>
      <c r="N59" s="3"/>
      <c r="O59" s="3"/>
      <c r="P59" s="3"/>
    </row>
    <row r="60" spans="1:16" x14ac:dyDescent="0.2">
      <c r="A60" s="3"/>
      <c r="B60" s="6"/>
      <c r="C60" s="6"/>
      <c r="D60" s="8"/>
      <c r="E60" s="6"/>
      <c r="F60" s="7"/>
      <c r="G60" s="3"/>
      <c r="H60" s="3"/>
      <c r="I60" s="3"/>
      <c r="J60" s="3"/>
      <c r="K60" s="3"/>
      <c r="L60" s="3"/>
      <c r="M60" s="3"/>
      <c r="N60" s="3"/>
      <c r="O60" s="3"/>
      <c r="P60" s="3"/>
    </row>
    <row r="61" spans="1:16" x14ac:dyDescent="0.2">
      <c r="A61" s="3"/>
      <c r="B61" s="6"/>
      <c r="C61" s="6"/>
      <c r="D61" s="8"/>
      <c r="E61" s="6"/>
      <c r="F61" s="7"/>
      <c r="G61" s="3"/>
      <c r="H61" s="3"/>
      <c r="I61" s="3"/>
      <c r="J61" s="3"/>
      <c r="K61" s="3"/>
      <c r="L61" s="3"/>
      <c r="M61" s="3"/>
      <c r="N61" s="3"/>
      <c r="O61" s="3"/>
      <c r="P61" s="3"/>
    </row>
    <row r="62" spans="1:16" x14ac:dyDescent="0.2">
      <c r="A62" s="3"/>
      <c r="B62" s="6"/>
      <c r="C62" s="6"/>
      <c r="D62" s="8"/>
      <c r="E62" s="6"/>
      <c r="F62" s="7"/>
      <c r="G62" s="3"/>
      <c r="H62" s="3"/>
      <c r="I62" s="3"/>
      <c r="J62" s="3"/>
      <c r="K62" s="3"/>
      <c r="L62" s="3"/>
      <c r="M62" s="3"/>
      <c r="N62" s="3"/>
      <c r="O62" s="3"/>
      <c r="P62" s="3"/>
    </row>
    <row r="63" spans="1:16" x14ac:dyDescent="0.2">
      <c r="A63" s="3"/>
      <c r="B63" s="6"/>
      <c r="C63" s="6"/>
      <c r="D63" s="8"/>
      <c r="E63" s="6"/>
      <c r="F63" s="7"/>
      <c r="G63" s="3"/>
      <c r="H63" s="3"/>
      <c r="I63" s="3"/>
      <c r="J63" s="3"/>
      <c r="K63" s="3"/>
      <c r="L63" s="3"/>
      <c r="M63" s="3"/>
      <c r="N63" s="3"/>
      <c r="O63" s="3"/>
      <c r="P63" s="3"/>
    </row>
    <row r="64" spans="1:16" x14ac:dyDescent="0.2">
      <c r="A64" s="3"/>
      <c r="B64" s="6"/>
      <c r="C64" s="6"/>
      <c r="D64" s="8"/>
      <c r="E64" s="6"/>
      <c r="F64" s="7"/>
      <c r="G64" s="3"/>
      <c r="H64" s="3"/>
      <c r="I64" s="3"/>
      <c r="J64" s="3"/>
      <c r="K64" s="3"/>
      <c r="L64" s="3"/>
      <c r="M64" s="3"/>
      <c r="N64" s="3"/>
      <c r="O64" s="3"/>
      <c r="P64" s="3"/>
    </row>
    <row r="65" spans="1:16" x14ac:dyDescent="0.2">
      <c r="A65" s="3"/>
      <c r="B65" s="6"/>
      <c r="C65" s="6"/>
      <c r="D65" s="8"/>
      <c r="E65" s="6"/>
      <c r="F65" s="7"/>
      <c r="G65" s="3"/>
      <c r="H65" s="3"/>
      <c r="I65" s="3"/>
      <c r="J65" s="3"/>
      <c r="K65" s="3"/>
      <c r="L65" s="3"/>
      <c r="M65" s="3"/>
      <c r="N65" s="3"/>
      <c r="O65" s="3"/>
      <c r="P65" s="3"/>
    </row>
    <row r="66" spans="1:16" x14ac:dyDescent="0.2">
      <c r="A66" s="3"/>
      <c r="B66" s="6"/>
      <c r="C66" s="6"/>
      <c r="D66" s="8"/>
      <c r="E66" s="6"/>
      <c r="F66" s="7"/>
      <c r="G66" s="3"/>
      <c r="H66" s="3"/>
      <c r="I66" s="3"/>
      <c r="J66" s="3"/>
      <c r="K66" s="3"/>
      <c r="L66" s="3"/>
      <c r="M66" s="3"/>
      <c r="N66" s="3"/>
      <c r="O66" s="3"/>
      <c r="P66" s="3"/>
    </row>
    <row r="67" spans="1:16" x14ac:dyDescent="0.2">
      <c r="A67" s="3"/>
      <c r="B67" s="6"/>
      <c r="C67" s="6"/>
      <c r="D67" s="8"/>
      <c r="E67" s="6"/>
      <c r="F67" s="7"/>
      <c r="G67" s="3"/>
      <c r="H67" s="3"/>
      <c r="I67" s="3"/>
      <c r="J67" s="3"/>
      <c r="K67" s="3"/>
      <c r="L67" s="3"/>
      <c r="M67" s="3"/>
      <c r="N67" s="3"/>
      <c r="O67" s="3"/>
      <c r="P67" s="3"/>
    </row>
    <row r="68" spans="1:16" x14ac:dyDescent="0.2">
      <c r="A68" s="3"/>
      <c r="B68" s="3"/>
      <c r="C68" s="3"/>
      <c r="D68" s="3"/>
      <c r="E68" s="6"/>
      <c r="F68" s="7"/>
      <c r="G68" s="3"/>
      <c r="H68" s="3"/>
      <c r="I68" s="3"/>
      <c r="J68" s="3"/>
      <c r="K68" s="3"/>
      <c r="L68" s="3"/>
      <c r="M68" s="3"/>
      <c r="N68" s="3"/>
      <c r="O68" s="3"/>
      <c r="P68" s="3"/>
    </row>
    <row r="69" spans="1:16" x14ac:dyDescent="0.2">
      <c r="A69" s="3"/>
      <c r="B69" s="3"/>
      <c r="C69" s="3"/>
      <c r="D69" s="3"/>
      <c r="E69" s="6"/>
      <c r="F69" s="7"/>
      <c r="G69" s="3"/>
      <c r="H69" s="3"/>
      <c r="I69" s="3"/>
      <c r="J69" s="3"/>
      <c r="K69" s="3"/>
      <c r="L69" s="3"/>
      <c r="M69" s="3"/>
      <c r="N69" s="3"/>
      <c r="O69" s="3"/>
      <c r="P69" s="3"/>
    </row>
    <row r="70" spans="1:16" x14ac:dyDescent="0.2">
      <c r="A70" s="3"/>
      <c r="B70" s="3"/>
      <c r="C70" s="3"/>
      <c r="D70" s="3"/>
      <c r="E70" s="6"/>
      <c r="F70" s="7"/>
      <c r="G70" s="3"/>
      <c r="H70" s="3"/>
      <c r="I70" s="3"/>
      <c r="J70" s="3"/>
      <c r="K70" s="3"/>
      <c r="L70" s="3"/>
      <c r="M70" s="3"/>
      <c r="N70" s="3"/>
      <c r="O70" s="3"/>
      <c r="P70" s="3"/>
    </row>
    <row r="71" spans="1:16" x14ac:dyDescent="0.2">
      <c r="A71" s="3"/>
      <c r="B71" s="3"/>
      <c r="C71" s="3"/>
      <c r="D71" s="3"/>
      <c r="E71" s="6"/>
      <c r="F71" s="7"/>
      <c r="G71" s="3"/>
      <c r="H71" s="3"/>
      <c r="I71" s="3"/>
      <c r="J71" s="3"/>
      <c r="K71" s="3"/>
      <c r="L71" s="3"/>
      <c r="M71" s="3"/>
      <c r="N71" s="3"/>
      <c r="O71" s="3"/>
      <c r="P71" s="3"/>
    </row>
    <row r="72" spans="1:16" x14ac:dyDescent="0.2">
      <c r="A72" s="3"/>
      <c r="B72" s="3"/>
      <c r="C72" s="3"/>
      <c r="D72" s="3"/>
      <c r="E72" s="3"/>
      <c r="F72" s="3"/>
      <c r="G72" s="3"/>
      <c r="H72" s="3"/>
      <c r="I72" s="3"/>
      <c r="J72" s="3"/>
      <c r="K72" s="3"/>
      <c r="L72" s="3"/>
      <c r="M72" s="3"/>
      <c r="N72" s="3"/>
      <c r="O72" s="3"/>
      <c r="P72" s="3"/>
    </row>
    <row r="73" spans="1:16" x14ac:dyDescent="0.2">
      <c r="A73" s="3"/>
      <c r="B73" s="3"/>
      <c r="C73" s="3"/>
      <c r="D73" s="3"/>
      <c r="E73" s="3"/>
      <c r="F73" s="3"/>
      <c r="G73" s="3"/>
      <c r="H73" s="3"/>
      <c r="I73" s="3"/>
      <c r="J73" s="3"/>
      <c r="K73" s="3"/>
      <c r="L73" s="3"/>
      <c r="M73" s="3"/>
      <c r="N73" s="3"/>
      <c r="O73" s="3"/>
      <c r="P73" s="3"/>
    </row>
    <row r="74" spans="1:16" x14ac:dyDescent="0.2">
      <c r="A74" s="3"/>
      <c r="B74" s="3"/>
      <c r="C74" s="3"/>
      <c r="D74" s="3"/>
      <c r="E74" s="3"/>
      <c r="F74" s="3"/>
      <c r="G74" s="3"/>
      <c r="H74" s="3"/>
      <c r="I74" s="3"/>
      <c r="J74" s="3"/>
      <c r="K74" s="3"/>
      <c r="L74" s="3"/>
      <c r="M74" s="3"/>
      <c r="N74" s="3"/>
      <c r="O74" s="3"/>
      <c r="P74" s="3"/>
    </row>
    <row r="75" spans="1:16" x14ac:dyDescent="0.2">
      <c r="A75" s="3"/>
      <c r="B75" s="3"/>
      <c r="C75" s="3"/>
      <c r="D75" s="3"/>
      <c r="E75" s="3"/>
      <c r="F75" s="3"/>
      <c r="G75" s="3"/>
      <c r="H75" s="3"/>
      <c r="I75" s="3"/>
      <c r="J75" s="3"/>
      <c r="K75" s="3"/>
      <c r="L75" s="3"/>
      <c r="M75" s="3"/>
      <c r="N75" s="3"/>
      <c r="O75" s="3"/>
      <c r="P75" s="3"/>
    </row>
    <row r="76" spans="1:16" x14ac:dyDescent="0.2">
      <c r="A76" s="3"/>
      <c r="B76" s="3"/>
      <c r="C76" s="3"/>
      <c r="D76" s="3"/>
      <c r="E76" s="3"/>
      <c r="F76" s="3"/>
      <c r="G76" s="3"/>
      <c r="H76" s="3"/>
      <c r="I76" s="3"/>
      <c r="J76" s="3"/>
      <c r="K76" s="3"/>
      <c r="L76" s="3"/>
      <c r="M76" s="3"/>
      <c r="N76" s="3"/>
      <c r="O76" s="3"/>
      <c r="P76" s="3"/>
    </row>
    <row r="77" spans="1:16" x14ac:dyDescent="0.2">
      <c r="A77" s="3"/>
      <c r="B77" s="3"/>
      <c r="C77" s="3"/>
      <c r="D77" s="3"/>
      <c r="E77" s="3"/>
      <c r="F77" s="3"/>
      <c r="G77" s="3"/>
      <c r="H77" s="3"/>
      <c r="I77" s="3"/>
      <c r="J77" s="3"/>
      <c r="K77" s="3"/>
      <c r="L77" s="3"/>
      <c r="M77" s="3"/>
      <c r="N77" s="3"/>
      <c r="O77" s="3"/>
      <c r="P77" s="3"/>
    </row>
    <row r="78" spans="1:16" x14ac:dyDescent="0.2">
      <c r="A78" s="3"/>
      <c r="E78" s="3"/>
      <c r="F78" s="3"/>
      <c r="G78" s="3"/>
      <c r="H78" s="3"/>
      <c r="I78" s="3"/>
      <c r="J78" s="3"/>
      <c r="K78" s="3"/>
      <c r="L78" s="3"/>
      <c r="M78" s="3"/>
      <c r="N78" s="3"/>
      <c r="O78" s="3"/>
      <c r="P78" s="3"/>
    </row>
    <row r="79" spans="1:16" x14ac:dyDescent="0.2">
      <c r="A79" s="3"/>
      <c r="E79" s="3"/>
      <c r="F79" s="3"/>
      <c r="G79" s="3"/>
      <c r="H79" s="3"/>
      <c r="I79" s="3"/>
      <c r="J79" s="3"/>
      <c r="K79" s="3"/>
      <c r="L79" s="3"/>
      <c r="M79" s="3"/>
      <c r="N79" s="3"/>
      <c r="O79" s="3"/>
      <c r="P79" s="3"/>
    </row>
    <row r="80" spans="1:16" x14ac:dyDescent="0.2">
      <c r="A80" s="3"/>
      <c r="E80" s="3"/>
      <c r="F80" s="3"/>
      <c r="G80" s="3"/>
      <c r="H80" s="3"/>
      <c r="I80" s="3"/>
      <c r="J80" s="3"/>
      <c r="K80" s="3"/>
      <c r="L80" s="3"/>
      <c r="M80" s="3"/>
      <c r="N80" s="3"/>
      <c r="O80" s="3"/>
      <c r="P80" s="3"/>
    </row>
    <row r="81" spans="1:16" x14ac:dyDescent="0.2">
      <c r="A81" s="3"/>
      <c r="E81" s="3"/>
      <c r="F81" s="3"/>
      <c r="G81" s="3"/>
      <c r="H81" s="3"/>
      <c r="I81" s="3"/>
      <c r="J81" s="3"/>
      <c r="K81" s="3"/>
      <c r="L81" s="3"/>
      <c r="M81" s="3"/>
      <c r="N81" s="3"/>
      <c r="O81" s="3"/>
      <c r="P81" s="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2"/>
  <sheetViews>
    <sheetView workbookViewId="0">
      <selection activeCell="H10" sqref="H10"/>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6384" width="9.77734375" style="1"/>
  </cols>
  <sheetData>
    <row r="1" spans="1:16" ht="15.75" thickBot="1" x14ac:dyDescent="0.3">
      <c r="A1" s="59" t="s">
        <v>74</v>
      </c>
      <c r="B1" s="60"/>
      <c r="C1" s="60"/>
      <c r="D1" s="60"/>
      <c r="E1" s="60"/>
      <c r="F1" s="60"/>
      <c r="G1" s="3"/>
      <c r="H1" s="3"/>
      <c r="I1" s="3"/>
      <c r="J1" s="3"/>
      <c r="K1" s="3"/>
      <c r="L1" s="3"/>
      <c r="M1" s="3"/>
      <c r="N1" s="3"/>
      <c r="O1" s="3"/>
      <c r="P1" s="3"/>
    </row>
    <row r="2" spans="1:16" ht="47.25" customHeight="1" thickBot="1" x14ac:dyDescent="0.3">
      <c r="A2" s="28"/>
      <c r="B2" s="39" t="s">
        <v>59</v>
      </c>
      <c r="C2" s="29" t="s">
        <v>2</v>
      </c>
      <c r="D2" s="30" t="s">
        <v>3</v>
      </c>
      <c r="E2" s="29" t="s">
        <v>4</v>
      </c>
      <c r="F2" s="31" t="s">
        <v>1</v>
      </c>
      <c r="G2" s="3"/>
      <c r="H2" s="3"/>
      <c r="I2" s="3"/>
      <c r="J2" s="3"/>
      <c r="K2" s="3"/>
      <c r="L2" s="3"/>
      <c r="M2" s="3"/>
      <c r="N2" s="3"/>
      <c r="O2" s="3"/>
      <c r="P2" s="3"/>
    </row>
    <row r="3" spans="1:16" x14ac:dyDescent="0.2">
      <c r="A3" s="32" t="s">
        <v>5</v>
      </c>
      <c r="B3" s="52">
        <v>9225.2516072647031</v>
      </c>
      <c r="C3" s="52">
        <v>9060.4928833989088</v>
      </c>
      <c r="D3" s="53">
        <v>74.417847249730428</v>
      </c>
      <c r="E3" s="52">
        <v>674.26237540404964</v>
      </c>
      <c r="F3" s="33">
        <v>18.350271483889877</v>
      </c>
      <c r="G3" s="16"/>
      <c r="H3" s="3"/>
      <c r="I3" s="3"/>
      <c r="J3" s="3"/>
      <c r="K3" s="3"/>
      <c r="L3" s="3"/>
      <c r="M3" s="3"/>
      <c r="N3" s="3"/>
      <c r="O3" s="3"/>
      <c r="P3" s="3"/>
    </row>
    <row r="4" spans="1:16" x14ac:dyDescent="0.2">
      <c r="A4" s="32" t="s">
        <v>6</v>
      </c>
      <c r="B4" s="52">
        <v>98037.310579070981</v>
      </c>
      <c r="C4" s="52">
        <v>96286.409587977949</v>
      </c>
      <c r="D4" s="53">
        <v>71.853123578412976</v>
      </c>
      <c r="E4" s="52">
        <v>6918.4792870466681</v>
      </c>
      <c r="F4" s="33">
        <v>188.28868079269182</v>
      </c>
      <c r="G4" s="16"/>
      <c r="H4" s="3"/>
      <c r="I4" s="3"/>
      <c r="J4" s="3"/>
      <c r="K4" s="3"/>
      <c r="L4" s="3"/>
      <c r="M4" s="3"/>
      <c r="N4" s="3"/>
      <c r="O4" s="3"/>
      <c r="P4" s="3"/>
    </row>
    <row r="5" spans="1:16" x14ac:dyDescent="0.2">
      <c r="A5" s="32" t="s">
        <v>7</v>
      </c>
      <c r="B5" s="52">
        <v>40812.967376610723</v>
      </c>
      <c r="C5" s="52">
        <v>40084.066669246662</v>
      </c>
      <c r="D5" s="53">
        <v>81.323494331678859</v>
      </c>
      <c r="E5" s="52">
        <v>3259.7763685671184</v>
      </c>
      <c r="F5" s="33">
        <v>88.715882009773523</v>
      </c>
      <c r="H5" s="3"/>
      <c r="I5" s="3"/>
      <c r="J5" s="3"/>
      <c r="K5" s="3"/>
      <c r="L5" s="3"/>
      <c r="M5" s="3"/>
      <c r="N5" s="3"/>
      <c r="O5" s="3"/>
      <c r="P5" s="3"/>
    </row>
    <row r="6" spans="1:16" x14ac:dyDescent="0.2">
      <c r="A6" s="32" t="s">
        <v>8</v>
      </c>
      <c r="B6" s="52">
        <v>68333.582223035351</v>
      </c>
      <c r="C6" s="52">
        <v>67113.176072228613</v>
      </c>
      <c r="D6" s="53">
        <v>64.496993156479334</v>
      </c>
      <c r="E6" s="52">
        <v>4328.5980578401213</v>
      </c>
      <c r="F6" s="33">
        <v>117.80421450686157</v>
      </c>
      <c r="H6" s="3"/>
      <c r="I6" s="3"/>
      <c r="J6" s="3"/>
      <c r="K6" s="3"/>
      <c r="L6" s="3"/>
      <c r="M6" s="3"/>
      <c r="N6" s="3"/>
      <c r="O6" s="3"/>
      <c r="P6" s="3"/>
    </row>
    <row r="7" spans="1:16" x14ac:dyDescent="0.2">
      <c r="A7" s="32" t="s">
        <v>9</v>
      </c>
      <c r="B7" s="52">
        <v>33496.03886506729</v>
      </c>
      <c r="C7" s="52">
        <v>32897.81511433277</v>
      </c>
      <c r="D7" s="53">
        <v>48.931671397997917</v>
      </c>
      <c r="E7" s="52">
        <v>1609.7450788866204</v>
      </c>
      <c r="F7" s="33">
        <v>43.809739791166457</v>
      </c>
      <c r="H7" s="3"/>
      <c r="I7" s="3"/>
      <c r="J7" s="3"/>
      <c r="K7" s="3"/>
      <c r="L7" s="3"/>
      <c r="M7" s="3"/>
      <c r="N7" s="3"/>
      <c r="O7" s="3"/>
      <c r="P7" s="3"/>
    </row>
    <row r="8" spans="1:16" x14ac:dyDescent="0.2">
      <c r="A8" s="32" t="s">
        <v>10</v>
      </c>
      <c r="B8" s="52">
        <v>15726.934758043037</v>
      </c>
      <c r="C8" s="52">
        <v>15446.058982360637</v>
      </c>
      <c r="D8" s="53">
        <v>49.981964073465662</v>
      </c>
      <c r="E8" s="52">
        <v>772.02436513298096</v>
      </c>
      <c r="F8" s="33">
        <v>21.01089606828274</v>
      </c>
      <c r="H8" s="3"/>
      <c r="I8" s="3"/>
      <c r="J8" s="3"/>
      <c r="K8" s="3"/>
      <c r="L8" s="3"/>
      <c r="M8" s="3"/>
      <c r="N8" s="3"/>
      <c r="O8" s="3"/>
      <c r="P8" s="3"/>
    </row>
    <row r="9" spans="1:16" x14ac:dyDescent="0.2">
      <c r="A9" s="32" t="s">
        <v>11</v>
      </c>
      <c r="B9" s="52">
        <v>122672.11908626993</v>
      </c>
      <c r="C9" s="52">
        <v>120481.25181727852</v>
      </c>
      <c r="D9" s="53">
        <v>78.23380136397472</v>
      </c>
      <c r="E9" s="52">
        <v>9425.7063227559865</v>
      </c>
      <c r="F9" s="33">
        <v>256.52368611898504</v>
      </c>
      <c r="H9" s="3"/>
      <c r="I9" s="3"/>
      <c r="J9" s="3"/>
      <c r="K9" s="3"/>
      <c r="L9" s="3"/>
      <c r="M9" s="3"/>
      <c r="N9" s="3"/>
      <c r="O9" s="3"/>
      <c r="P9" s="3"/>
    </row>
    <row r="10" spans="1:16" x14ac:dyDescent="0.2">
      <c r="A10" s="32" t="s">
        <v>12</v>
      </c>
      <c r="B10" s="52">
        <v>95686.889252885056</v>
      </c>
      <c r="C10" s="52">
        <v>93977.965698802465</v>
      </c>
      <c r="D10" s="53">
        <v>84.455382945839474</v>
      </c>
      <c r="E10" s="52">
        <v>7936.9450815633281</v>
      </c>
      <c r="F10" s="33">
        <v>216.00656111374178</v>
      </c>
      <c r="H10" s="3"/>
      <c r="I10" s="3"/>
      <c r="J10" s="3"/>
      <c r="K10" s="3"/>
      <c r="L10" s="3"/>
      <c r="M10" s="3"/>
      <c r="N10" s="3"/>
      <c r="O10" s="3"/>
      <c r="P10" s="3"/>
    </row>
    <row r="11" spans="1:16" x14ac:dyDescent="0.2">
      <c r="A11" s="32" t="s">
        <v>13</v>
      </c>
      <c r="B11" s="52">
        <v>18348.090551050209</v>
      </c>
      <c r="C11" s="52">
        <v>18020.40214608741</v>
      </c>
      <c r="D11" s="53">
        <v>47.675555957803518</v>
      </c>
      <c r="E11" s="52">
        <v>859.13269089791299</v>
      </c>
      <c r="F11" s="33">
        <v>23.381577696982173</v>
      </c>
      <c r="H11" s="3"/>
      <c r="I11" s="3"/>
      <c r="J11" s="3"/>
      <c r="K11" s="3"/>
      <c r="L11" s="3"/>
      <c r="M11" s="3"/>
      <c r="N11" s="3"/>
      <c r="O11" s="3"/>
      <c r="P11" s="3"/>
    </row>
    <row r="12" spans="1:16" x14ac:dyDescent="0.2">
      <c r="A12" s="32" t="s">
        <v>14</v>
      </c>
      <c r="B12" s="52">
        <v>39011.112891437122</v>
      </c>
      <c r="C12" s="52">
        <v>38314.392471203144</v>
      </c>
      <c r="D12" s="53">
        <v>93.668152428549774</v>
      </c>
      <c r="E12" s="52">
        <v>3588.838354199936</v>
      </c>
      <c r="F12" s="33">
        <v>97.671411773349007</v>
      </c>
      <c r="H12" s="3"/>
      <c r="I12" s="3"/>
      <c r="J12" s="3"/>
      <c r="K12" s="3"/>
      <c r="L12" s="3"/>
      <c r="M12" s="3"/>
      <c r="N12" s="3"/>
      <c r="O12" s="3"/>
      <c r="P12" s="3"/>
    </row>
    <row r="13" spans="1:16" s="17" customFormat="1" ht="15" x14ac:dyDescent="0.25">
      <c r="A13" s="34" t="s">
        <v>15</v>
      </c>
      <c r="B13" s="54">
        <v>541350.29719073442</v>
      </c>
      <c r="C13" s="54">
        <v>531682.03144291718</v>
      </c>
      <c r="D13" s="55">
        <v>74.054614701647992</v>
      </c>
      <c r="E13" s="54">
        <v>39373.507982294723</v>
      </c>
      <c r="F13" s="37">
        <v>1071.562921355724</v>
      </c>
      <c r="G13" s="23"/>
      <c r="H13" s="9"/>
      <c r="I13" s="9"/>
      <c r="J13" s="9"/>
      <c r="K13" s="9"/>
      <c r="L13" s="9"/>
      <c r="M13" s="9"/>
      <c r="N13" s="9"/>
      <c r="O13" s="9"/>
      <c r="P13" s="9"/>
    </row>
    <row r="14" spans="1:16" x14ac:dyDescent="0.2">
      <c r="A14" s="32" t="s">
        <v>16</v>
      </c>
      <c r="B14" s="52">
        <v>50559.053839857901</v>
      </c>
      <c r="C14" s="52">
        <v>49657.987363142965</v>
      </c>
      <c r="D14" s="53">
        <v>86.655535804824169</v>
      </c>
      <c r="E14" s="52">
        <v>4303.1395019423417</v>
      </c>
      <c r="F14" s="33">
        <v>117.11135156603369</v>
      </c>
      <c r="H14" s="3"/>
      <c r="I14" s="3"/>
      <c r="J14" s="3"/>
      <c r="K14" s="3"/>
      <c r="L14" s="3"/>
      <c r="M14" s="3"/>
      <c r="N14" s="3"/>
      <c r="O14" s="3"/>
      <c r="P14" s="3"/>
    </row>
    <row r="15" spans="1:16" x14ac:dyDescent="0.2">
      <c r="A15" s="32" t="s">
        <v>17</v>
      </c>
      <c r="B15" s="52">
        <v>15447.319082082751</v>
      </c>
      <c r="C15" s="52">
        <v>15172.016038950827</v>
      </c>
      <c r="D15" s="53">
        <v>52.324450973584177</v>
      </c>
      <c r="E15" s="52">
        <v>793.86740940051538</v>
      </c>
      <c r="F15" s="33">
        <v>21.605361675389599</v>
      </c>
      <c r="H15" s="3"/>
      <c r="I15" s="3"/>
      <c r="J15" s="3"/>
      <c r="K15" s="3"/>
      <c r="L15" s="3"/>
      <c r="M15" s="3"/>
      <c r="N15" s="3"/>
      <c r="O15" s="3"/>
      <c r="P15" s="3"/>
    </row>
    <row r="16" spans="1:16" x14ac:dyDescent="0.2">
      <c r="A16" s="32" t="s">
        <v>18</v>
      </c>
      <c r="B16" s="52">
        <v>17562.014750015285</v>
      </c>
      <c r="C16" s="52">
        <v>17249.023474408445</v>
      </c>
      <c r="D16" s="53">
        <v>71.570083684981398</v>
      </c>
      <c r="E16" s="52">
        <v>1234.514053547621</v>
      </c>
      <c r="F16" s="33">
        <v>33.597704483660486</v>
      </c>
      <c r="H16" s="3"/>
      <c r="I16" s="3"/>
      <c r="J16" s="3"/>
      <c r="K16" s="3"/>
      <c r="L16" s="3"/>
      <c r="M16" s="3"/>
      <c r="N16" s="3"/>
      <c r="O16" s="3"/>
      <c r="P16" s="3"/>
    </row>
    <row r="17" spans="1:16" x14ac:dyDescent="0.2">
      <c r="A17" s="32" t="s">
        <v>19</v>
      </c>
      <c r="B17" s="52">
        <v>9586.8252736650738</v>
      </c>
      <c r="C17" s="52">
        <v>9415.9683011516154</v>
      </c>
      <c r="D17" s="53">
        <v>51.843891150860109</v>
      </c>
      <c r="E17" s="52">
        <v>488.1604356848535</v>
      </c>
      <c r="F17" s="33">
        <v>13.285446213935703</v>
      </c>
      <c r="H17" s="3"/>
      <c r="I17" s="3"/>
      <c r="J17" s="3"/>
      <c r="K17" s="3"/>
      <c r="L17" s="3"/>
      <c r="M17" s="3"/>
      <c r="N17" s="3"/>
      <c r="O17" s="3"/>
      <c r="P17" s="3"/>
    </row>
    <row r="18" spans="1:16" x14ac:dyDescent="0.2">
      <c r="A18" s="32" t="s">
        <v>20</v>
      </c>
      <c r="B18" s="52">
        <v>93366.272687672405</v>
      </c>
      <c r="C18" s="52">
        <v>91702.293400378781</v>
      </c>
      <c r="D18" s="53">
        <v>90.658481670345211</v>
      </c>
      <c r="E18" s="52">
        <v>8313.5906853668585</v>
      </c>
      <c r="F18" s="33">
        <v>226.25709463767851</v>
      </c>
      <c r="H18" s="3"/>
      <c r="I18" s="3"/>
      <c r="J18" s="3"/>
      <c r="K18" s="3"/>
      <c r="L18" s="3"/>
      <c r="M18" s="3"/>
      <c r="N18" s="3"/>
      <c r="O18" s="3"/>
      <c r="P18" s="3"/>
    </row>
    <row r="19" spans="1:16" x14ac:dyDescent="0.2">
      <c r="A19" s="32" t="s">
        <v>21</v>
      </c>
      <c r="B19" s="52">
        <v>5211.9461544441838</v>
      </c>
      <c r="C19" s="52">
        <v>5119.0585388434611</v>
      </c>
      <c r="D19" s="53">
        <v>85.654914220151412</v>
      </c>
      <c r="E19" s="52">
        <v>438.47252003257029</v>
      </c>
      <c r="F19" s="33">
        <v>11.93317330809303</v>
      </c>
      <c r="H19" s="3"/>
      <c r="I19" s="3"/>
      <c r="J19" s="3"/>
      <c r="K19" s="3"/>
      <c r="L19" s="3"/>
      <c r="M19" s="3"/>
      <c r="N19" s="3"/>
      <c r="O19" s="3"/>
      <c r="P19" s="3"/>
    </row>
    <row r="20" spans="1:16" x14ac:dyDescent="0.2">
      <c r="A20" s="32" t="s">
        <v>22</v>
      </c>
      <c r="B20" s="52">
        <v>81169.888370294095</v>
      </c>
      <c r="C20" s="52">
        <v>79723.27377262323</v>
      </c>
      <c r="D20" s="53">
        <v>86.95160015724727</v>
      </c>
      <c r="E20" s="52">
        <v>6932.0662243038933</v>
      </c>
      <c r="F20" s="33">
        <v>188.65845374221351</v>
      </c>
      <c r="H20" s="3"/>
      <c r="I20" s="3"/>
      <c r="J20" s="3"/>
      <c r="K20" s="3"/>
      <c r="L20" s="3"/>
      <c r="M20" s="3"/>
      <c r="N20" s="3"/>
      <c r="O20" s="3"/>
      <c r="P20" s="3"/>
    </row>
    <row r="21" spans="1:16" x14ac:dyDescent="0.2">
      <c r="A21" s="32" t="s">
        <v>23</v>
      </c>
      <c r="B21" s="52">
        <v>63823.031609748679</v>
      </c>
      <c r="C21" s="52">
        <v>62685.573729147967</v>
      </c>
      <c r="D21" s="53">
        <v>83.512377170390778</v>
      </c>
      <c r="E21" s="52">
        <v>5235.0212764109447</v>
      </c>
      <c r="F21" s="33">
        <v>142.47281941026955</v>
      </c>
      <c r="H21" s="3"/>
      <c r="I21" s="3"/>
      <c r="J21" s="3"/>
      <c r="K21" s="3"/>
      <c r="L21" s="3"/>
      <c r="M21" s="3"/>
      <c r="N21" s="3"/>
      <c r="O21" s="3"/>
      <c r="P21" s="3"/>
    </row>
    <row r="22" spans="1:16" x14ac:dyDescent="0.2">
      <c r="A22" s="32" t="s">
        <v>24</v>
      </c>
      <c r="B22" s="52">
        <v>15899.150859969499</v>
      </c>
      <c r="C22" s="52">
        <v>15615.795243910521</v>
      </c>
      <c r="D22" s="53">
        <v>79.330519974872246</v>
      </c>
      <c r="E22" s="52">
        <v>1238.8091565205584</v>
      </c>
      <c r="F22" s="33">
        <v>33.714597118456304</v>
      </c>
      <c r="H22" s="3"/>
      <c r="I22" s="3"/>
      <c r="J22" s="3"/>
      <c r="K22" s="3"/>
      <c r="L22" s="3"/>
      <c r="M22" s="3"/>
      <c r="N22" s="3"/>
      <c r="O22" s="3"/>
      <c r="P22" s="3"/>
    </row>
    <row r="23" spans="1:16" x14ac:dyDescent="0.2">
      <c r="A23" s="32" t="s">
        <v>25</v>
      </c>
      <c r="B23" s="52">
        <v>61148.925169194459</v>
      </c>
      <c r="C23" s="52">
        <v>60059.125373264062</v>
      </c>
      <c r="D23" s="53">
        <v>77.139790226040375</v>
      </c>
      <c r="E23" s="52">
        <v>4632.9483324530484</v>
      </c>
      <c r="F23" s="33">
        <v>126.08720695768149</v>
      </c>
      <c r="H23" s="3"/>
      <c r="I23" s="3"/>
      <c r="J23" s="3"/>
      <c r="K23" s="3"/>
      <c r="L23" s="3"/>
      <c r="M23" s="3"/>
      <c r="N23" s="3"/>
      <c r="O23" s="3"/>
      <c r="P23" s="3"/>
    </row>
    <row r="24" spans="1:16" s="17" customFormat="1" ht="15" x14ac:dyDescent="0.25">
      <c r="A24" s="34" t="s">
        <v>26</v>
      </c>
      <c r="B24" s="54">
        <v>413774.42779694428</v>
      </c>
      <c r="C24" s="54">
        <v>406400.11523582187</v>
      </c>
      <c r="D24" s="55">
        <v>82.703198979557328</v>
      </c>
      <c r="E24" s="54">
        <v>33610.589595663201</v>
      </c>
      <c r="F24" s="37">
        <v>914.72320911341171</v>
      </c>
      <c r="G24" s="23"/>
      <c r="H24" s="9"/>
      <c r="I24" s="9"/>
      <c r="J24" s="9"/>
      <c r="K24" s="9"/>
      <c r="L24" s="9"/>
      <c r="M24" s="9"/>
      <c r="N24" s="9"/>
      <c r="O24" s="9"/>
      <c r="P24" s="9"/>
    </row>
    <row r="25" spans="1:16" x14ac:dyDescent="0.2">
      <c r="A25" s="32" t="s">
        <v>27</v>
      </c>
      <c r="B25" s="52">
        <v>22715.568568971317</v>
      </c>
      <c r="C25" s="52">
        <v>22310.685950255469</v>
      </c>
      <c r="D25" s="53">
        <v>81.165789810482536</v>
      </c>
      <c r="E25" s="52">
        <v>1810.8644463661212</v>
      </c>
      <c r="F25" s="33">
        <v>49.2832692784161</v>
      </c>
      <c r="H25" s="3"/>
      <c r="I25" s="3"/>
      <c r="J25" s="3"/>
      <c r="K25" s="3"/>
      <c r="L25" s="3"/>
      <c r="M25" s="3"/>
      <c r="N25" s="3"/>
      <c r="O25" s="3"/>
      <c r="P25" s="3"/>
    </row>
    <row r="26" spans="1:16" x14ac:dyDescent="0.2">
      <c r="A26" s="32" t="s">
        <v>28</v>
      </c>
      <c r="B26" s="40">
        <v>0</v>
      </c>
      <c r="C26" s="40">
        <v>0</v>
      </c>
      <c r="D26" s="56" t="s">
        <v>64</v>
      </c>
      <c r="E26" s="40">
        <v>0</v>
      </c>
      <c r="F26" s="40">
        <v>0</v>
      </c>
      <c r="H26" s="3"/>
      <c r="I26" s="3"/>
      <c r="J26" s="3"/>
      <c r="K26" s="3"/>
      <c r="L26" s="3"/>
      <c r="M26" s="3"/>
      <c r="N26" s="3"/>
      <c r="O26" s="3"/>
      <c r="P26" s="3"/>
    </row>
    <row r="27" spans="1:16" x14ac:dyDescent="0.2">
      <c r="A27" s="32" t="s">
        <v>29</v>
      </c>
      <c r="B27" s="52">
        <v>6292.9536883264445</v>
      </c>
      <c r="C27" s="52">
        <v>6180.7879918768504</v>
      </c>
      <c r="D27" s="53">
        <v>62.363703750647929</v>
      </c>
      <c r="E27" s="52">
        <v>385.45683127096999</v>
      </c>
      <c r="F27" s="33">
        <v>10.490333966660407</v>
      </c>
      <c r="H27" s="3"/>
      <c r="I27" s="3"/>
      <c r="J27" s="3"/>
      <c r="K27" s="3"/>
      <c r="L27" s="3"/>
      <c r="M27" s="3"/>
      <c r="N27" s="3"/>
      <c r="O27" s="3"/>
      <c r="P27" s="3"/>
    </row>
    <row r="28" spans="1:16" x14ac:dyDescent="0.2">
      <c r="A28" s="32" t="s">
        <v>30</v>
      </c>
      <c r="B28" s="52">
        <v>22303.424418961207</v>
      </c>
      <c r="C28" s="52">
        <v>21905.887863463537</v>
      </c>
      <c r="D28" s="53">
        <v>46.414057537509493</v>
      </c>
      <c r="E28" s="52">
        <v>1016.7411397050274</v>
      </c>
      <c r="F28" s="33">
        <v>27.670943275229355</v>
      </c>
      <c r="H28" s="3"/>
      <c r="I28" s="3"/>
      <c r="J28" s="3"/>
      <c r="K28" s="3"/>
      <c r="L28" s="3"/>
      <c r="M28" s="3"/>
      <c r="N28" s="3"/>
      <c r="O28" s="3"/>
      <c r="P28" s="3"/>
    </row>
    <row r="29" spans="1:16" x14ac:dyDescent="0.2">
      <c r="A29" s="32" t="s">
        <v>31</v>
      </c>
      <c r="B29" s="40">
        <v>0</v>
      </c>
      <c r="C29" s="40">
        <v>0</v>
      </c>
      <c r="D29" s="56" t="s">
        <v>64</v>
      </c>
      <c r="E29" s="40">
        <v>0</v>
      </c>
      <c r="F29" s="40">
        <v>0</v>
      </c>
      <c r="H29" s="3"/>
      <c r="I29" s="3"/>
      <c r="J29" s="3"/>
      <c r="K29" s="3"/>
      <c r="L29" s="3"/>
      <c r="M29" s="3"/>
      <c r="N29" s="3"/>
      <c r="O29" s="3"/>
      <c r="P29" s="3"/>
    </row>
    <row r="30" spans="1:16" x14ac:dyDescent="0.2">
      <c r="A30" s="32" t="s">
        <v>32</v>
      </c>
      <c r="B30" s="52">
        <v>16494.629315458471</v>
      </c>
      <c r="C30" s="52">
        <v>16200.62880687721</v>
      </c>
      <c r="D30" s="53">
        <v>75.157033088244674</v>
      </c>
      <c r="E30" s="52">
        <v>1217.5911952888403</v>
      </c>
      <c r="F30" s="33">
        <v>33.137143350991735</v>
      </c>
      <c r="H30" s="3"/>
      <c r="I30" s="3"/>
      <c r="J30" s="3"/>
      <c r="K30" s="3"/>
      <c r="L30" s="3"/>
      <c r="M30" s="3"/>
      <c r="N30" s="3"/>
      <c r="O30" s="3"/>
      <c r="P30" s="3"/>
    </row>
    <row r="31" spans="1:16" x14ac:dyDescent="0.2">
      <c r="A31" s="32" t="s">
        <v>33</v>
      </c>
      <c r="B31" s="40">
        <v>0</v>
      </c>
      <c r="C31" s="40">
        <v>0</v>
      </c>
      <c r="D31" s="56" t="s">
        <v>64</v>
      </c>
      <c r="E31" s="40">
        <v>0</v>
      </c>
      <c r="F31" s="40">
        <v>0</v>
      </c>
      <c r="H31" s="3"/>
      <c r="I31" s="3"/>
      <c r="J31" s="3"/>
      <c r="K31" s="3"/>
      <c r="L31" s="3"/>
      <c r="M31" s="3"/>
      <c r="N31" s="3"/>
      <c r="O31" s="3"/>
      <c r="P31" s="3"/>
    </row>
    <row r="32" spans="1:16" x14ac:dyDescent="0.2">
      <c r="A32" s="32" t="s">
        <v>34</v>
      </c>
      <c r="B32" s="52">
        <v>7228.0334265214306</v>
      </c>
      <c r="C32" s="52">
        <v>7099.2008554585518</v>
      </c>
      <c r="D32" s="53">
        <v>70.944410640983435</v>
      </c>
      <c r="E32" s="52">
        <v>503.64862071247239</v>
      </c>
      <c r="F32" s="33">
        <v>13.70696224451536</v>
      </c>
      <c r="H32" s="3"/>
      <c r="I32" s="3"/>
      <c r="J32" s="3"/>
      <c r="K32" s="3"/>
      <c r="L32" s="3"/>
      <c r="M32" s="3"/>
      <c r="N32" s="3"/>
      <c r="O32" s="3"/>
      <c r="P32" s="3"/>
    </row>
    <row r="33" spans="1:16" x14ac:dyDescent="0.2">
      <c r="A33" s="32" t="s">
        <v>35</v>
      </c>
      <c r="B33" s="52">
        <v>7550.4365116099862</v>
      </c>
      <c r="C33" s="52">
        <v>7415.8574233522422</v>
      </c>
      <c r="D33" s="53">
        <v>109.450668414322</v>
      </c>
      <c r="E33" s="52">
        <v>811.67055185121455</v>
      </c>
      <c r="F33" s="33">
        <v>22.089880030786375</v>
      </c>
      <c r="H33" s="3"/>
      <c r="I33" s="3"/>
      <c r="J33" s="3"/>
      <c r="K33" s="3"/>
      <c r="L33" s="3"/>
      <c r="M33" s="3"/>
      <c r="N33" s="3"/>
      <c r="O33" s="3"/>
      <c r="P33" s="3"/>
    </row>
    <row r="34" spans="1:16" x14ac:dyDescent="0.2">
      <c r="A34" s="32" t="s">
        <v>36</v>
      </c>
      <c r="B34" s="52">
        <v>9273.2433752275247</v>
      </c>
      <c r="C34" s="52">
        <v>9107.9569528185275</v>
      </c>
      <c r="D34" s="53">
        <v>65.062306006023618</v>
      </c>
      <c r="E34" s="52">
        <v>592.58468235396947</v>
      </c>
      <c r="F34" s="33">
        <v>16.127386303994378</v>
      </c>
      <c r="H34" s="3"/>
      <c r="I34" s="3"/>
      <c r="J34" s="3"/>
      <c r="K34" s="3"/>
      <c r="L34" s="3"/>
      <c r="M34" s="3"/>
      <c r="N34" s="3"/>
      <c r="O34" s="3"/>
      <c r="P34" s="3"/>
    </row>
    <row r="35" spans="1:16" s="17" customFormat="1" ht="15" x14ac:dyDescent="0.25">
      <c r="A35" s="34" t="s">
        <v>37</v>
      </c>
      <c r="B35" s="54">
        <v>91858.289305076381</v>
      </c>
      <c r="C35" s="54">
        <v>90221.005844102372</v>
      </c>
      <c r="D35" s="55">
        <v>70.255894492035964</v>
      </c>
      <c r="E35" s="54">
        <v>6338.5574675486159</v>
      </c>
      <c r="F35" s="37">
        <v>172.50591845059373</v>
      </c>
      <c r="G35" s="23"/>
      <c r="H35" s="9"/>
      <c r="I35" s="9"/>
      <c r="J35" s="9"/>
      <c r="K35" s="9"/>
      <c r="L35" s="9"/>
      <c r="M35" s="9"/>
      <c r="N35" s="9"/>
      <c r="O35" s="9"/>
      <c r="P35" s="9"/>
    </row>
    <row r="36" spans="1:16" x14ac:dyDescent="0.2">
      <c r="A36" s="32" t="s">
        <v>38</v>
      </c>
      <c r="B36" s="52">
        <v>4790.4611341382815</v>
      </c>
      <c r="C36" s="52">
        <v>4704.7760682499647</v>
      </c>
      <c r="D36" s="53">
        <v>10.206939928452032</v>
      </c>
      <c r="E36" s="52">
        <v>48.021366705446127</v>
      </c>
      <c r="F36" s="33">
        <v>1.3069172301721677</v>
      </c>
      <c r="H36" s="3"/>
      <c r="I36" s="3"/>
      <c r="J36" s="3"/>
      <c r="K36" s="3"/>
      <c r="L36" s="3"/>
      <c r="M36" s="3"/>
      <c r="N36" s="3"/>
      <c r="O36" s="3"/>
      <c r="P36" s="3"/>
    </row>
    <row r="37" spans="1:16" x14ac:dyDescent="0.2">
      <c r="A37" s="32" t="s">
        <v>39</v>
      </c>
      <c r="B37" s="52">
        <v>4416.0113320951641</v>
      </c>
      <c r="C37" s="52">
        <v>4337.0239003304778</v>
      </c>
      <c r="D37" s="53">
        <v>78.805902639435573</v>
      </c>
      <c r="E37" s="52">
        <v>341.78308323434874</v>
      </c>
      <c r="F37" s="33">
        <v>9.3017386031555827</v>
      </c>
      <c r="H37" s="3"/>
      <c r="I37" s="3"/>
      <c r="J37" s="3"/>
      <c r="K37" s="3"/>
      <c r="L37" s="3"/>
      <c r="M37" s="3"/>
      <c r="N37" s="3"/>
      <c r="O37" s="3"/>
      <c r="P37" s="3"/>
    </row>
    <row r="38" spans="1:16" x14ac:dyDescent="0.2">
      <c r="A38" s="32" t="s">
        <v>40</v>
      </c>
      <c r="B38" s="52">
        <v>3005.5837443994224</v>
      </c>
      <c r="C38" s="52">
        <v>2951.8240678337456</v>
      </c>
      <c r="D38" s="53">
        <v>44.077561010353172</v>
      </c>
      <c r="E38" s="52">
        <v>130.10920544177083</v>
      </c>
      <c r="F38" s="33">
        <v>3.5409646593122912</v>
      </c>
      <c r="H38" s="3"/>
      <c r="I38" s="3"/>
      <c r="J38" s="3"/>
      <c r="K38" s="3"/>
      <c r="L38" s="3"/>
      <c r="M38" s="3"/>
      <c r="N38" s="3"/>
      <c r="O38" s="3"/>
      <c r="P38" s="3"/>
    </row>
    <row r="39" spans="1:16" x14ac:dyDescent="0.2">
      <c r="A39" s="32" t="s">
        <v>41</v>
      </c>
      <c r="B39" s="52">
        <v>10349.792528471764</v>
      </c>
      <c r="C39" s="52">
        <v>10164.669921294608</v>
      </c>
      <c r="D39" s="53">
        <v>81.519590882993057</v>
      </c>
      <c r="E39" s="52">
        <v>828.61973344460159</v>
      </c>
      <c r="F39" s="33">
        <v>22.551157561631875</v>
      </c>
      <c r="H39" s="3"/>
      <c r="I39" s="3"/>
      <c r="J39" s="3"/>
      <c r="K39" s="3"/>
      <c r="L39" s="3"/>
      <c r="M39" s="3"/>
      <c r="N39" s="3"/>
      <c r="O39" s="3"/>
      <c r="P39" s="3"/>
    </row>
    <row r="40" spans="1:16" x14ac:dyDescent="0.2">
      <c r="A40" s="32" t="s">
        <v>42</v>
      </c>
      <c r="B40" s="52">
        <v>6458.0109192369637</v>
      </c>
      <c r="C40" s="52">
        <v>6342.4990560514107</v>
      </c>
      <c r="D40" s="53">
        <v>58.650423456023368</v>
      </c>
      <c r="E40" s="52">
        <v>371.99025540684374</v>
      </c>
      <c r="F40" s="33">
        <v>10.123836691891023</v>
      </c>
      <c r="H40" s="3"/>
      <c r="I40" s="3"/>
      <c r="J40" s="3"/>
      <c r="K40" s="3"/>
      <c r="L40" s="3"/>
      <c r="M40" s="3"/>
      <c r="N40" s="3"/>
      <c r="O40" s="3"/>
      <c r="P40" s="3"/>
    </row>
    <row r="41" spans="1:16" x14ac:dyDescent="0.2">
      <c r="A41" s="32" t="s">
        <v>43</v>
      </c>
      <c r="B41" s="52">
        <v>3579.7401075322018</v>
      </c>
      <c r="C41" s="52">
        <v>3515.7107253102913</v>
      </c>
      <c r="D41" s="40">
        <v>0</v>
      </c>
      <c r="E41" s="40">
        <v>0</v>
      </c>
      <c r="F41" s="40">
        <v>0</v>
      </c>
      <c r="H41" s="3"/>
      <c r="I41" s="3"/>
      <c r="J41" s="3"/>
      <c r="K41" s="3"/>
      <c r="L41" s="3"/>
      <c r="M41" s="3"/>
      <c r="N41" s="3"/>
      <c r="O41" s="3"/>
      <c r="P41" s="3"/>
    </row>
    <row r="42" spans="1:16" x14ac:dyDescent="0.2">
      <c r="A42" s="32" t="s">
        <v>44</v>
      </c>
      <c r="B42" s="52">
        <v>7858.4531788782233</v>
      </c>
      <c r="C42" s="52">
        <v>7717.8921640702911</v>
      </c>
      <c r="D42" s="53">
        <v>37.349690981872214</v>
      </c>
      <c r="E42" s="52">
        <v>288.26088735943841</v>
      </c>
      <c r="F42" s="33">
        <v>7.8451145046657524</v>
      </c>
      <c r="H42" s="3"/>
      <c r="I42" s="3"/>
      <c r="J42" s="3"/>
      <c r="K42" s="3"/>
      <c r="L42" s="3"/>
      <c r="M42" s="3"/>
      <c r="N42" s="3"/>
      <c r="O42" s="3"/>
      <c r="P42" s="3"/>
    </row>
    <row r="43" spans="1:16" x14ac:dyDescent="0.2">
      <c r="A43" s="32" t="s">
        <v>45</v>
      </c>
      <c r="B43" s="52">
        <v>4051.5468581065302</v>
      </c>
      <c r="C43" s="52">
        <v>3979.0784568888448</v>
      </c>
      <c r="D43" s="53">
        <v>44.745830156263494</v>
      </c>
      <c r="E43" s="52">
        <v>178.04716881039528</v>
      </c>
      <c r="F43" s="33">
        <v>4.8456120403438732</v>
      </c>
      <c r="H43" s="3"/>
      <c r="I43" s="3"/>
      <c r="J43" s="3"/>
      <c r="K43" s="3"/>
      <c r="L43" s="3"/>
      <c r="M43" s="3"/>
      <c r="N43" s="3"/>
      <c r="O43" s="3"/>
      <c r="P43" s="3"/>
    </row>
    <row r="44" spans="1:16" s="17" customFormat="1" ht="15" x14ac:dyDescent="0.25">
      <c r="A44" s="34" t="s">
        <v>46</v>
      </c>
      <c r="B44" s="54">
        <v>44509.599802858545</v>
      </c>
      <c r="C44" s="54">
        <v>43713.474360029635</v>
      </c>
      <c r="D44" s="55">
        <v>50.026490285165295</v>
      </c>
      <c r="E44" s="54">
        <v>2186.8317004028445</v>
      </c>
      <c r="F44" s="37">
        <v>59.515341291172561</v>
      </c>
      <c r="G44" s="23"/>
      <c r="H44" s="9"/>
      <c r="I44" s="9"/>
      <c r="J44" s="9"/>
      <c r="K44" s="9"/>
      <c r="L44" s="9"/>
      <c r="M44" s="9"/>
      <c r="N44" s="9"/>
      <c r="O44" s="9"/>
      <c r="P44" s="9"/>
    </row>
    <row r="45" spans="1:16" x14ac:dyDescent="0.2">
      <c r="A45" s="32" t="s">
        <v>47</v>
      </c>
      <c r="B45" s="40">
        <v>0</v>
      </c>
      <c r="C45" s="40">
        <v>0</v>
      </c>
      <c r="D45" s="56" t="s">
        <v>64</v>
      </c>
      <c r="E45" s="40">
        <v>0</v>
      </c>
      <c r="F45" s="40">
        <v>0</v>
      </c>
      <c r="H45" s="3"/>
      <c r="I45" s="3"/>
      <c r="J45" s="3"/>
      <c r="K45" s="3"/>
      <c r="L45" s="3"/>
      <c r="M45" s="3"/>
      <c r="N45" s="3"/>
      <c r="O45" s="3"/>
      <c r="P45" s="3"/>
    </row>
    <row r="46" spans="1:16" x14ac:dyDescent="0.2">
      <c r="A46" s="32" t="s">
        <v>48</v>
      </c>
      <c r="B46" s="40">
        <v>0</v>
      </c>
      <c r="C46" s="40">
        <v>0</v>
      </c>
      <c r="D46" s="56" t="s">
        <v>64</v>
      </c>
      <c r="E46" s="40">
        <v>0</v>
      </c>
      <c r="F46" s="40">
        <v>0</v>
      </c>
      <c r="H46" s="3"/>
      <c r="I46" s="3"/>
      <c r="J46" s="3"/>
      <c r="K46" s="3"/>
      <c r="L46" s="3"/>
      <c r="M46" s="3"/>
      <c r="N46" s="3"/>
      <c r="O46" s="3"/>
      <c r="P46" s="3"/>
    </row>
    <row r="47" spans="1:16" x14ac:dyDescent="0.2">
      <c r="A47" s="35" t="s">
        <v>49</v>
      </c>
      <c r="B47" s="40">
        <v>0</v>
      </c>
      <c r="C47" s="40">
        <v>0</v>
      </c>
      <c r="D47" s="56" t="s">
        <v>64</v>
      </c>
      <c r="E47" s="40">
        <v>0</v>
      </c>
      <c r="F47" s="40">
        <v>0</v>
      </c>
      <c r="G47" s="24"/>
      <c r="H47" s="3"/>
      <c r="I47" s="3"/>
      <c r="J47" s="3"/>
      <c r="K47" s="3"/>
      <c r="L47" s="3"/>
      <c r="M47" s="3"/>
      <c r="N47" s="3"/>
      <c r="O47" s="3"/>
      <c r="P47" s="3"/>
    </row>
    <row r="48" spans="1:16" x14ac:dyDescent="0.2">
      <c r="A48" s="32" t="s">
        <v>50</v>
      </c>
      <c r="B48" s="40">
        <v>0</v>
      </c>
      <c r="C48" s="40">
        <v>0</v>
      </c>
      <c r="D48" s="56" t="s">
        <v>64</v>
      </c>
      <c r="E48" s="40">
        <v>0</v>
      </c>
      <c r="F48" s="40">
        <v>0</v>
      </c>
      <c r="H48" s="3"/>
      <c r="I48" s="3"/>
      <c r="J48" s="3"/>
      <c r="K48" s="3"/>
      <c r="L48" s="3"/>
      <c r="M48" s="3"/>
      <c r="N48" s="3"/>
      <c r="O48" s="3"/>
      <c r="P48" s="3"/>
    </row>
    <row r="49" spans="1:16" x14ac:dyDescent="0.2">
      <c r="A49" s="32" t="s">
        <v>51</v>
      </c>
      <c r="B49" s="40">
        <v>0</v>
      </c>
      <c r="C49" s="40">
        <v>0</v>
      </c>
      <c r="D49" s="56" t="s">
        <v>64</v>
      </c>
      <c r="E49" s="40">
        <v>0</v>
      </c>
      <c r="F49" s="40">
        <v>0</v>
      </c>
      <c r="H49" s="3"/>
      <c r="I49" s="3"/>
      <c r="J49" s="3"/>
      <c r="K49" s="3"/>
      <c r="L49" s="3"/>
      <c r="M49" s="3"/>
      <c r="N49" s="3"/>
      <c r="O49" s="3"/>
      <c r="P49" s="3"/>
    </row>
    <row r="50" spans="1:16" x14ac:dyDescent="0.2">
      <c r="A50" s="32" t="s">
        <v>52</v>
      </c>
      <c r="B50" s="52">
        <v>6915.0716852825044</v>
      </c>
      <c r="C50" s="52">
        <v>6778.8038688161332</v>
      </c>
      <c r="D50" s="53">
        <v>10.258556497033299</v>
      </c>
      <c r="E50" s="52">
        <v>69.540742470558214</v>
      </c>
      <c r="F50" s="33">
        <v>1.8925740929283206</v>
      </c>
      <c r="H50" s="3"/>
      <c r="I50" s="3"/>
      <c r="J50" s="3"/>
      <c r="K50" s="3"/>
      <c r="L50" s="3"/>
      <c r="M50" s="3"/>
      <c r="N50" s="3"/>
      <c r="O50" s="3"/>
      <c r="P50" s="3"/>
    </row>
    <row r="51" spans="1:16" x14ac:dyDescent="0.2">
      <c r="A51" s="32" t="s">
        <v>53</v>
      </c>
      <c r="B51" s="40">
        <v>0</v>
      </c>
      <c r="C51" s="40">
        <v>0</v>
      </c>
      <c r="D51" s="56" t="s">
        <v>64</v>
      </c>
      <c r="E51" s="40">
        <v>0</v>
      </c>
      <c r="F51" s="40">
        <v>0</v>
      </c>
      <c r="H51" s="3"/>
      <c r="I51" s="3"/>
      <c r="J51" s="3"/>
      <c r="K51" s="3"/>
      <c r="L51" s="3"/>
      <c r="M51" s="3"/>
      <c r="N51" s="3"/>
      <c r="O51" s="3"/>
      <c r="P51" s="3"/>
    </row>
    <row r="52" spans="1:16" x14ac:dyDescent="0.2">
      <c r="A52" s="32" t="s">
        <v>54</v>
      </c>
      <c r="B52" s="40">
        <v>0</v>
      </c>
      <c r="C52" s="40">
        <v>0</v>
      </c>
      <c r="D52" s="56" t="s">
        <v>64</v>
      </c>
      <c r="E52" s="40">
        <v>0</v>
      </c>
      <c r="F52" s="40">
        <v>0</v>
      </c>
      <c r="H52" s="3"/>
      <c r="I52" s="3"/>
      <c r="J52" s="3"/>
      <c r="K52" s="3"/>
      <c r="L52" s="3"/>
      <c r="M52" s="3"/>
      <c r="N52" s="3"/>
      <c r="O52" s="3"/>
      <c r="P52" s="3"/>
    </row>
    <row r="53" spans="1:16" x14ac:dyDescent="0.2">
      <c r="A53" s="32" t="s">
        <v>55</v>
      </c>
      <c r="B53" s="52">
        <v>16530.314219103893</v>
      </c>
      <c r="C53" s="52">
        <v>16204.569248312853</v>
      </c>
      <c r="D53" s="40">
        <v>0</v>
      </c>
      <c r="E53" s="40">
        <v>0</v>
      </c>
      <c r="F53" s="40">
        <v>0</v>
      </c>
      <c r="H53" s="3"/>
      <c r="I53" s="3"/>
      <c r="J53" s="3"/>
      <c r="K53" s="3"/>
      <c r="L53" s="3"/>
      <c r="M53" s="3"/>
      <c r="N53" s="3"/>
      <c r="O53" s="3"/>
      <c r="P53" s="3"/>
    </row>
    <row r="54" spans="1:16" x14ac:dyDescent="0.2">
      <c r="A54" s="32" t="s">
        <v>56</v>
      </c>
      <c r="B54" s="40">
        <v>0</v>
      </c>
      <c r="C54" s="40">
        <v>0</v>
      </c>
      <c r="D54" s="40" t="s">
        <v>71</v>
      </c>
      <c r="E54" s="40">
        <v>920.97251162005705</v>
      </c>
      <c r="F54" s="40">
        <v>25.064568681146774</v>
      </c>
      <c r="H54" s="3"/>
      <c r="I54" s="3"/>
      <c r="J54" s="3"/>
      <c r="K54" s="3"/>
      <c r="L54" s="3"/>
      <c r="M54" s="3"/>
      <c r="N54" s="3"/>
      <c r="O54" s="3"/>
      <c r="P54" s="3"/>
    </row>
    <row r="55" spans="1:16" s="17" customFormat="1" ht="15" x14ac:dyDescent="0.25">
      <c r="A55" s="34" t="s">
        <v>57</v>
      </c>
      <c r="B55" s="54">
        <v>23445.385904386396</v>
      </c>
      <c r="C55" s="54">
        <v>22983.373117128984</v>
      </c>
      <c r="D55" s="55">
        <v>43.096948783049093</v>
      </c>
      <c r="E55" s="54">
        <v>990.51325409061519</v>
      </c>
      <c r="F55" s="37">
        <v>26.957142774075091</v>
      </c>
      <c r="G55" s="23"/>
      <c r="H55" s="9"/>
      <c r="I55" s="9"/>
      <c r="J55" s="9"/>
      <c r="K55" s="9"/>
      <c r="L55" s="9"/>
      <c r="M55" s="9"/>
      <c r="N55" s="9"/>
      <c r="O55" s="9"/>
      <c r="P55" s="9"/>
    </row>
    <row r="56" spans="1:16" s="17" customFormat="1" ht="15.75" thickBot="1" x14ac:dyDescent="0.3">
      <c r="A56" s="36" t="s">
        <v>0</v>
      </c>
      <c r="B56" s="57">
        <v>1114938</v>
      </c>
      <c r="C56" s="57">
        <v>1095000</v>
      </c>
      <c r="D56" s="58">
        <v>75.342465753424662</v>
      </c>
      <c r="E56" s="57">
        <v>82500</v>
      </c>
      <c r="F56" s="38">
        <v>2245.264532984977</v>
      </c>
      <c r="H56" s="9"/>
      <c r="I56" s="9"/>
      <c r="J56" s="9"/>
      <c r="K56" s="9"/>
      <c r="L56" s="9"/>
      <c r="M56" s="9"/>
      <c r="N56" s="9"/>
      <c r="O56" s="9"/>
      <c r="P56" s="9"/>
    </row>
    <row r="57" spans="1:16" s="22" customFormat="1" x14ac:dyDescent="0.2">
      <c r="A57" s="20"/>
      <c r="B57" s="20"/>
      <c r="C57" s="16"/>
      <c r="D57" s="20"/>
      <c r="E57" s="15"/>
      <c r="F57" s="21"/>
      <c r="G57" s="20"/>
      <c r="H57" s="20"/>
      <c r="I57" s="20"/>
      <c r="J57" s="20"/>
      <c r="K57" s="20"/>
      <c r="L57" s="20"/>
      <c r="M57" s="20"/>
      <c r="N57" s="20"/>
      <c r="O57" s="20"/>
      <c r="P57" s="20"/>
    </row>
    <row r="58" spans="1:16" ht="171" x14ac:dyDescent="0.2">
      <c r="A58" s="61" t="s">
        <v>58</v>
      </c>
      <c r="B58" s="61"/>
      <c r="C58" s="61"/>
      <c r="D58" s="61"/>
      <c r="E58" s="61"/>
      <c r="F58" s="61"/>
      <c r="G58" s="3"/>
      <c r="H58" s="3"/>
      <c r="I58" s="3"/>
      <c r="J58" s="3"/>
      <c r="K58" s="3"/>
      <c r="L58" s="3"/>
      <c r="M58" s="3"/>
      <c r="N58" s="3"/>
      <c r="O58" s="3"/>
      <c r="P58" s="3"/>
    </row>
    <row r="59" spans="1:16" ht="15" x14ac:dyDescent="0.2">
      <c r="A59"/>
      <c r="B59" s="6"/>
      <c r="C59" s="6"/>
      <c r="D59" s="8"/>
      <c r="E59" s="12"/>
      <c r="F59" s="14"/>
      <c r="G59" s="3"/>
      <c r="H59" s="3"/>
      <c r="I59" s="3"/>
      <c r="J59" s="3"/>
      <c r="K59" s="3"/>
      <c r="L59" s="3"/>
      <c r="M59" s="3"/>
      <c r="N59" s="3"/>
      <c r="O59" s="3"/>
      <c r="P59" s="3"/>
    </row>
    <row r="60" spans="1:16" ht="15" x14ac:dyDescent="0.25">
      <c r="A60" s="17" t="s">
        <v>60</v>
      </c>
      <c r="B60" s="6"/>
      <c r="C60" s="6"/>
      <c r="D60" s="8"/>
      <c r="E60" s="6"/>
      <c r="F60" s="7"/>
      <c r="G60" s="3"/>
      <c r="H60" s="3"/>
      <c r="I60" s="3"/>
      <c r="J60" s="3"/>
      <c r="K60" s="3"/>
      <c r="L60" s="3"/>
      <c r="M60" s="3"/>
      <c r="N60" s="3"/>
      <c r="O60" s="3"/>
      <c r="P60" s="3"/>
    </row>
    <row r="61" spans="1:16" x14ac:dyDescent="0.2">
      <c r="A61" s="3"/>
      <c r="B61" s="6"/>
      <c r="C61" s="6"/>
      <c r="D61" s="8"/>
      <c r="E61" s="6"/>
      <c r="F61" s="7"/>
      <c r="G61" s="3"/>
      <c r="H61" s="3"/>
      <c r="I61" s="3"/>
      <c r="J61" s="3"/>
      <c r="K61" s="3"/>
      <c r="L61" s="3"/>
      <c r="M61" s="3"/>
      <c r="N61" s="3"/>
      <c r="O61" s="3"/>
      <c r="P61" s="3"/>
    </row>
    <row r="62" spans="1:16" x14ac:dyDescent="0.2">
      <c r="A62" s="3"/>
      <c r="B62" s="6"/>
      <c r="C62" s="6"/>
      <c r="D62" s="8"/>
      <c r="E62" s="6"/>
      <c r="F62" s="7"/>
      <c r="G62" s="3"/>
      <c r="H62" s="3"/>
      <c r="I62" s="3"/>
      <c r="J62" s="3"/>
      <c r="K62" s="3"/>
      <c r="L62" s="3"/>
      <c r="M62" s="3"/>
      <c r="N62" s="3"/>
      <c r="O62" s="3"/>
      <c r="P62" s="3"/>
    </row>
    <row r="63" spans="1:16" x14ac:dyDescent="0.2">
      <c r="A63" s="3"/>
      <c r="B63" s="6"/>
      <c r="C63" s="6"/>
      <c r="D63" s="8"/>
      <c r="E63" s="6"/>
      <c r="F63" s="7"/>
      <c r="G63" s="3"/>
      <c r="H63" s="3"/>
      <c r="I63" s="3"/>
      <c r="J63" s="3"/>
      <c r="K63" s="3"/>
      <c r="L63" s="3"/>
      <c r="M63" s="3"/>
      <c r="N63" s="3"/>
      <c r="O63" s="3"/>
      <c r="P63" s="3"/>
    </row>
    <row r="64" spans="1:16" x14ac:dyDescent="0.2">
      <c r="A64" s="3"/>
      <c r="B64" s="6"/>
      <c r="C64" s="6"/>
      <c r="D64" s="8"/>
      <c r="E64" s="6"/>
      <c r="F64" s="7"/>
      <c r="G64" s="3"/>
      <c r="H64" s="3"/>
      <c r="I64" s="3"/>
      <c r="J64" s="3"/>
      <c r="K64" s="3"/>
      <c r="L64" s="3"/>
      <c r="M64" s="3"/>
      <c r="N64" s="3"/>
      <c r="O64" s="3"/>
      <c r="P64" s="3"/>
    </row>
    <row r="65" spans="1:16" x14ac:dyDescent="0.2">
      <c r="A65" s="3"/>
      <c r="B65" s="6"/>
      <c r="C65" s="6"/>
      <c r="D65" s="8"/>
      <c r="E65" s="6"/>
      <c r="F65" s="7"/>
      <c r="G65" s="3"/>
      <c r="H65" s="3"/>
      <c r="I65" s="3"/>
      <c r="J65" s="3"/>
      <c r="K65" s="3"/>
      <c r="L65" s="3"/>
      <c r="M65" s="3"/>
      <c r="N65" s="3"/>
      <c r="O65" s="3"/>
      <c r="P65" s="3"/>
    </row>
    <row r="66" spans="1:16" x14ac:dyDescent="0.2">
      <c r="A66" s="3"/>
      <c r="B66" s="6"/>
      <c r="C66" s="6"/>
      <c r="D66" s="8"/>
      <c r="E66" s="6"/>
      <c r="F66" s="7"/>
      <c r="G66" s="3"/>
      <c r="H66" s="3"/>
      <c r="I66" s="3"/>
      <c r="J66" s="3"/>
      <c r="K66" s="3"/>
      <c r="L66" s="3"/>
      <c r="M66" s="3"/>
      <c r="N66" s="3"/>
      <c r="O66" s="3"/>
      <c r="P66" s="3"/>
    </row>
    <row r="67" spans="1:16" x14ac:dyDescent="0.2">
      <c r="A67" s="3"/>
      <c r="B67" s="6"/>
      <c r="C67" s="6"/>
      <c r="D67" s="8"/>
      <c r="E67" s="6"/>
      <c r="F67" s="7"/>
      <c r="G67" s="3"/>
      <c r="H67" s="3"/>
      <c r="I67" s="3"/>
      <c r="J67" s="3"/>
      <c r="K67" s="3"/>
      <c r="L67" s="3"/>
      <c r="M67" s="3"/>
      <c r="N67" s="3"/>
      <c r="O67" s="3"/>
      <c r="P67" s="3"/>
    </row>
    <row r="68" spans="1:16" x14ac:dyDescent="0.2">
      <c r="A68" s="3"/>
      <c r="B68" s="6"/>
      <c r="C68" s="6"/>
      <c r="D68" s="8"/>
      <c r="E68" s="6"/>
      <c r="F68" s="7"/>
      <c r="G68" s="3"/>
      <c r="H68" s="3"/>
      <c r="I68" s="3"/>
      <c r="J68" s="3"/>
      <c r="K68" s="3"/>
      <c r="L68" s="3"/>
      <c r="M68" s="3"/>
      <c r="N68" s="3"/>
      <c r="O68" s="3"/>
      <c r="P68" s="3"/>
    </row>
    <row r="69" spans="1:16" x14ac:dyDescent="0.2">
      <c r="A69" s="3"/>
      <c r="B69" s="3"/>
      <c r="C69" s="3"/>
      <c r="D69" s="3"/>
      <c r="E69" s="6"/>
      <c r="F69" s="7"/>
      <c r="G69" s="3"/>
      <c r="H69" s="3"/>
      <c r="I69" s="3"/>
      <c r="J69" s="3"/>
      <c r="K69" s="3"/>
      <c r="L69" s="3"/>
      <c r="M69" s="3"/>
      <c r="N69" s="3"/>
      <c r="O69" s="3"/>
      <c r="P69" s="3"/>
    </row>
    <row r="70" spans="1:16" x14ac:dyDescent="0.2">
      <c r="A70" s="3"/>
      <c r="B70" s="3"/>
      <c r="C70" s="3"/>
      <c r="D70" s="3"/>
      <c r="E70" s="6"/>
      <c r="F70" s="7"/>
      <c r="G70" s="3"/>
      <c r="H70" s="3"/>
      <c r="I70" s="3"/>
      <c r="J70" s="3"/>
      <c r="K70" s="3"/>
      <c r="L70" s="3"/>
      <c r="M70" s="3"/>
      <c r="N70" s="3"/>
      <c r="O70" s="3"/>
      <c r="P70" s="3"/>
    </row>
    <row r="71" spans="1:16" x14ac:dyDescent="0.2">
      <c r="A71" s="3"/>
      <c r="B71" s="3"/>
      <c r="C71" s="3"/>
      <c r="D71" s="3"/>
      <c r="E71" s="6"/>
      <c r="F71" s="7"/>
      <c r="G71" s="3"/>
      <c r="H71" s="3"/>
      <c r="I71" s="3"/>
      <c r="J71" s="3"/>
      <c r="K71" s="3"/>
      <c r="L71" s="3"/>
      <c r="M71" s="3"/>
      <c r="N71" s="3"/>
      <c r="O71" s="3"/>
      <c r="P71" s="3"/>
    </row>
    <row r="72" spans="1:16" x14ac:dyDescent="0.2">
      <c r="A72" s="3"/>
      <c r="B72" s="3"/>
      <c r="C72" s="3"/>
      <c r="D72" s="3"/>
      <c r="E72" s="6"/>
      <c r="F72" s="7"/>
      <c r="G72" s="3"/>
      <c r="H72" s="3"/>
      <c r="I72" s="3"/>
      <c r="J72" s="3"/>
      <c r="K72" s="3"/>
      <c r="L72" s="3"/>
      <c r="M72" s="3"/>
      <c r="N72" s="3"/>
      <c r="O72" s="3"/>
      <c r="P72" s="3"/>
    </row>
    <row r="73" spans="1:16" x14ac:dyDescent="0.2">
      <c r="A73" s="3"/>
      <c r="B73" s="3"/>
      <c r="C73" s="3"/>
      <c r="D73" s="3"/>
      <c r="E73" s="3"/>
      <c r="F73" s="3"/>
      <c r="G73" s="3"/>
      <c r="H73" s="3"/>
      <c r="I73" s="3"/>
      <c r="J73" s="3"/>
      <c r="K73" s="3"/>
      <c r="L73" s="3"/>
      <c r="M73" s="3"/>
      <c r="N73" s="3"/>
      <c r="O73" s="3"/>
      <c r="P73" s="3"/>
    </row>
    <row r="74" spans="1:16" x14ac:dyDescent="0.2">
      <c r="A74" s="3"/>
      <c r="B74" s="3"/>
      <c r="C74" s="3"/>
      <c r="D74" s="3"/>
      <c r="E74" s="3"/>
      <c r="F74" s="3"/>
      <c r="G74" s="3"/>
      <c r="H74" s="3"/>
      <c r="I74" s="3"/>
      <c r="J74" s="3"/>
      <c r="K74" s="3"/>
      <c r="L74" s="3"/>
      <c r="M74" s="3"/>
      <c r="N74" s="3"/>
      <c r="O74" s="3"/>
      <c r="P74" s="3"/>
    </row>
    <row r="75" spans="1:16" x14ac:dyDescent="0.2">
      <c r="A75" s="3"/>
      <c r="B75" s="3"/>
      <c r="C75" s="3"/>
      <c r="D75" s="3"/>
      <c r="E75" s="3"/>
      <c r="F75" s="3"/>
      <c r="G75" s="3"/>
      <c r="H75" s="3"/>
      <c r="I75" s="3"/>
      <c r="J75" s="3"/>
      <c r="K75" s="3"/>
      <c r="L75" s="3"/>
      <c r="M75" s="3"/>
      <c r="N75" s="3"/>
      <c r="O75" s="3"/>
      <c r="P75" s="3"/>
    </row>
    <row r="76" spans="1:16" x14ac:dyDescent="0.2">
      <c r="A76" s="3"/>
      <c r="B76" s="3"/>
      <c r="C76" s="3"/>
      <c r="D76" s="3"/>
      <c r="E76" s="3"/>
      <c r="F76" s="3"/>
      <c r="G76" s="3"/>
      <c r="H76" s="3"/>
      <c r="I76" s="3"/>
      <c r="J76" s="3"/>
      <c r="K76" s="3"/>
      <c r="L76" s="3"/>
      <c r="M76" s="3"/>
      <c r="N76" s="3"/>
      <c r="O76" s="3"/>
      <c r="P76" s="3"/>
    </row>
    <row r="77" spans="1:16" x14ac:dyDescent="0.2">
      <c r="A77" s="3"/>
      <c r="B77" s="3"/>
      <c r="C77" s="3"/>
      <c r="D77" s="3"/>
      <c r="E77" s="3"/>
      <c r="F77" s="3"/>
      <c r="G77" s="3"/>
      <c r="H77" s="3"/>
      <c r="I77" s="3"/>
      <c r="J77" s="3"/>
      <c r="K77" s="3"/>
      <c r="L77" s="3"/>
      <c r="M77" s="3"/>
      <c r="N77" s="3"/>
      <c r="O77" s="3"/>
      <c r="P77" s="3"/>
    </row>
    <row r="78" spans="1:16" x14ac:dyDescent="0.2">
      <c r="A78" s="3"/>
      <c r="B78" s="3"/>
      <c r="C78" s="3"/>
      <c r="D78" s="3"/>
      <c r="E78" s="3"/>
      <c r="F78" s="3"/>
      <c r="G78" s="3"/>
      <c r="H78" s="3"/>
      <c r="I78" s="3"/>
      <c r="J78" s="3"/>
      <c r="K78" s="3"/>
      <c r="L78" s="3"/>
      <c r="M78" s="3"/>
      <c r="N78" s="3"/>
      <c r="O78" s="3"/>
      <c r="P78" s="3"/>
    </row>
    <row r="79" spans="1:16" x14ac:dyDescent="0.2">
      <c r="A79" s="3"/>
      <c r="E79" s="3"/>
      <c r="F79" s="3"/>
      <c r="G79" s="3"/>
      <c r="H79" s="3"/>
      <c r="I79" s="3"/>
      <c r="J79" s="3"/>
      <c r="K79" s="3"/>
      <c r="L79" s="3"/>
      <c r="M79" s="3"/>
      <c r="N79" s="3"/>
      <c r="O79" s="3"/>
      <c r="P79" s="3"/>
    </row>
    <row r="80" spans="1:16" x14ac:dyDescent="0.2">
      <c r="A80" s="3"/>
      <c r="E80" s="3"/>
      <c r="F80" s="3"/>
      <c r="G80" s="3"/>
      <c r="H80" s="3"/>
      <c r="I80" s="3"/>
      <c r="J80" s="3"/>
      <c r="K80" s="3"/>
      <c r="L80" s="3"/>
      <c r="M80" s="3"/>
      <c r="N80" s="3"/>
      <c r="O80" s="3"/>
      <c r="P80" s="3"/>
    </row>
    <row r="81" spans="1:16" x14ac:dyDescent="0.2">
      <c r="A81" s="3"/>
      <c r="E81" s="3"/>
      <c r="F81" s="3"/>
      <c r="G81" s="3"/>
      <c r="H81" s="3"/>
      <c r="I81" s="3"/>
      <c r="J81" s="3"/>
      <c r="K81" s="3"/>
      <c r="L81" s="3"/>
      <c r="M81" s="3"/>
      <c r="N81" s="3"/>
      <c r="O81" s="3"/>
      <c r="P81" s="3"/>
    </row>
    <row r="82" spans="1:16" x14ac:dyDescent="0.2">
      <c r="A82" s="3"/>
      <c r="E82" s="3"/>
      <c r="F82" s="3"/>
      <c r="G82" s="3"/>
      <c r="H82" s="3"/>
      <c r="I82" s="3"/>
      <c r="J82" s="3"/>
      <c r="K82" s="3"/>
      <c r="L82" s="3"/>
      <c r="M82" s="3"/>
      <c r="N82" s="3"/>
      <c r="O82" s="3"/>
      <c r="P82" s="3"/>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82"/>
  <sheetViews>
    <sheetView workbookViewId="0">
      <selection activeCell="K50" sqref="K50"/>
    </sheetView>
  </sheetViews>
  <sheetFormatPr defaultColWidth="9.77734375" defaultRowHeight="14.25" x14ac:dyDescent="0.2"/>
  <cols>
    <col min="1" max="1" width="34.5546875" style="1" bestFit="1" customWidth="1"/>
    <col min="2" max="2" width="12.21875" style="1" customWidth="1"/>
    <col min="3" max="3" width="10.88671875" style="1" bestFit="1" customWidth="1"/>
    <col min="4" max="4" width="15" style="1" customWidth="1"/>
    <col min="5" max="5" width="13.5546875" style="1" customWidth="1"/>
    <col min="6" max="6" width="13.6640625" style="1" customWidth="1"/>
    <col min="7" max="16384" width="9.77734375" style="1"/>
  </cols>
  <sheetData>
    <row r="1" spans="1:16" ht="15.75" thickBot="1" x14ac:dyDescent="0.3">
      <c r="A1" s="108" t="s">
        <v>75</v>
      </c>
      <c r="B1" s="109"/>
      <c r="C1" s="109"/>
      <c r="D1" s="109"/>
      <c r="E1" s="109"/>
      <c r="F1" s="109"/>
      <c r="G1" s="3"/>
      <c r="H1" s="3"/>
      <c r="I1" s="3"/>
      <c r="J1" s="3"/>
      <c r="K1" s="3"/>
      <c r="L1" s="3"/>
      <c r="M1" s="3"/>
      <c r="N1" s="3"/>
      <c r="O1" s="3"/>
      <c r="P1" s="3"/>
    </row>
    <row r="2" spans="1:16" ht="47.25" customHeight="1" thickBot="1" x14ac:dyDescent="0.3">
      <c r="A2" s="18"/>
      <c r="B2" s="62" t="s">
        <v>76</v>
      </c>
      <c r="C2" s="19" t="s">
        <v>2</v>
      </c>
      <c r="D2" s="19" t="s">
        <v>3</v>
      </c>
      <c r="E2" s="19" t="s">
        <v>4</v>
      </c>
      <c r="F2" s="19" t="s">
        <v>1</v>
      </c>
      <c r="G2" s="3"/>
      <c r="H2" s="3"/>
      <c r="I2" s="3"/>
      <c r="J2" s="3"/>
      <c r="K2" s="3"/>
      <c r="L2" s="3"/>
      <c r="M2" s="3"/>
      <c r="N2" s="3"/>
      <c r="O2" s="3"/>
      <c r="P2" s="3"/>
    </row>
    <row r="3" spans="1:16" x14ac:dyDescent="0.2">
      <c r="A3" s="1" t="s">
        <v>5</v>
      </c>
      <c r="B3" s="52">
        <v>10000</v>
      </c>
      <c r="C3" s="16">
        <v>10000</v>
      </c>
      <c r="D3" s="16">
        <v>72</v>
      </c>
      <c r="E3" s="63">
        <v>720</v>
      </c>
      <c r="F3" s="64">
        <f t="shared" ref="F3:F56" si="0">E3/36.744</f>
        <v>19.595035924232526</v>
      </c>
      <c r="G3" s="16"/>
      <c r="H3" s="3"/>
      <c r="I3" s="3"/>
      <c r="J3" s="3"/>
      <c r="K3" s="3"/>
      <c r="L3" s="3"/>
      <c r="M3" s="3"/>
      <c r="N3" s="3"/>
      <c r="O3" s="3"/>
      <c r="P3" s="3"/>
    </row>
    <row r="4" spans="1:16" x14ac:dyDescent="0.2">
      <c r="A4" s="1" t="s">
        <v>6</v>
      </c>
      <c r="B4" s="52">
        <v>72000</v>
      </c>
      <c r="C4" s="16">
        <v>72000</v>
      </c>
      <c r="D4" s="16">
        <v>89</v>
      </c>
      <c r="E4" s="63">
        <v>6408</v>
      </c>
      <c r="F4" s="64">
        <f t="shared" si="0"/>
        <v>174.3958197256695</v>
      </c>
      <c r="G4" s="16"/>
      <c r="H4" s="3"/>
      <c r="I4" s="3"/>
      <c r="J4" s="3"/>
      <c r="K4" s="3"/>
      <c r="L4" s="3"/>
      <c r="M4" s="3"/>
      <c r="N4" s="3"/>
      <c r="O4" s="3"/>
      <c r="P4" s="3"/>
    </row>
    <row r="5" spans="1:16" x14ac:dyDescent="0.2">
      <c r="A5" s="1" t="s">
        <v>7</v>
      </c>
      <c r="B5" s="52">
        <v>26000</v>
      </c>
      <c r="C5" s="16">
        <v>26000</v>
      </c>
      <c r="D5" s="16">
        <v>85</v>
      </c>
      <c r="E5" s="63">
        <v>2210</v>
      </c>
      <c r="F5" s="64">
        <f t="shared" si="0"/>
        <v>60.145874156324844</v>
      </c>
      <c r="H5" s="3"/>
      <c r="I5" s="3"/>
      <c r="J5" s="3"/>
      <c r="K5" s="3"/>
      <c r="L5" s="3"/>
      <c r="M5" s="3"/>
      <c r="N5" s="3"/>
      <c r="O5" s="3"/>
      <c r="P5" s="3"/>
    </row>
    <row r="6" spans="1:16" x14ac:dyDescent="0.2">
      <c r="A6" s="1" t="s">
        <v>8</v>
      </c>
      <c r="B6" s="52">
        <v>50000</v>
      </c>
      <c r="C6" s="16">
        <v>50000</v>
      </c>
      <c r="D6" s="16">
        <v>86</v>
      </c>
      <c r="E6" s="63">
        <v>4300</v>
      </c>
      <c r="F6" s="64">
        <f t="shared" si="0"/>
        <v>117.02590899194426</v>
      </c>
      <c r="H6" s="3"/>
      <c r="I6" s="3"/>
      <c r="J6" s="3"/>
      <c r="K6" s="3"/>
      <c r="L6" s="3"/>
      <c r="M6" s="3"/>
      <c r="N6" s="3"/>
      <c r="O6" s="3"/>
      <c r="P6" s="3"/>
    </row>
    <row r="7" spans="1:16" x14ac:dyDescent="0.2">
      <c r="A7" s="1" t="s">
        <v>9</v>
      </c>
      <c r="B7" s="52">
        <v>18000</v>
      </c>
      <c r="C7" s="16">
        <v>18000</v>
      </c>
      <c r="D7" s="16">
        <v>72</v>
      </c>
      <c r="E7" s="63">
        <v>1296</v>
      </c>
      <c r="F7" s="64">
        <f t="shared" si="0"/>
        <v>35.271064663618553</v>
      </c>
      <c r="H7" s="3"/>
      <c r="I7" s="3"/>
      <c r="J7" s="3"/>
      <c r="K7" s="3"/>
      <c r="L7" s="3"/>
      <c r="M7" s="3"/>
      <c r="N7" s="3"/>
      <c r="O7" s="3"/>
      <c r="P7" s="3"/>
    </row>
    <row r="8" spans="1:16" x14ac:dyDescent="0.2">
      <c r="A8" s="1" t="s">
        <v>10</v>
      </c>
      <c r="B8" s="52">
        <v>8000</v>
      </c>
      <c r="C8" s="16">
        <v>8000</v>
      </c>
      <c r="D8" s="16">
        <v>72</v>
      </c>
      <c r="E8" s="63">
        <v>576</v>
      </c>
      <c r="F8" s="64">
        <f t="shared" si="0"/>
        <v>15.676028739386023</v>
      </c>
      <c r="H8" s="3"/>
      <c r="I8" s="3"/>
      <c r="J8" s="3"/>
      <c r="K8" s="3"/>
      <c r="L8" s="3"/>
      <c r="M8" s="3"/>
      <c r="N8" s="3"/>
      <c r="O8" s="3"/>
      <c r="P8" s="3"/>
    </row>
    <row r="9" spans="1:16" x14ac:dyDescent="0.2">
      <c r="A9" s="1" t="s">
        <v>11</v>
      </c>
      <c r="B9" s="52">
        <v>100000</v>
      </c>
      <c r="C9" s="16">
        <v>100000</v>
      </c>
      <c r="D9" s="16">
        <v>87</v>
      </c>
      <c r="E9" s="63">
        <v>8700</v>
      </c>
      <c r="F9" s="64">
        <f t="shared" si="0"/>
        <v>236.77335075114306</v>
      </c>
      <c r="H9" s="3"/>
      <c r="I9" s="3"/>
      <c r="J9" s="3"/>
      <c r="K9" s="3"/>
      <c r="L9" s="3"/>
      <c r="M9" s="3"/>
      <c r="N9" s="3"/>
      <c r="O9" s="3"/>
      <c r="P9" s="3"/>
    </row>
    <row r="10" spans="1:16" x14ac:dyDescent="0.2">
      <c r="A10" s="1" t="s">
        <v>12</v>
      </c>
      <c r="B10" s="52">
        <v>69000</v>
      </c>
      <c r="C10" s="16">
        <v>69000</v>
      </c>
      <c r="D10" s="16">
        <v>87</v>
      </c>
      <c r="E10" s="63">
        <v>6003</v>
      </c>
      <c r="F10" s="64">
        <f t="shared" si="0"/>
        <v>163.3736120182887</v>
      </c>
      <c r="H10" s="3"/>
      <c r="I10" s="3"/>
      <c r="J10" s="3"/>
      <c r="K10" s="3"/>
      <c r="L10" s="3"/>
      <c r="M10" s="3"/>
      <c r="N10" s="3"/>
      <c r="O10" s="3"/>
      <c r="P10" s="3"/>
    </row>
    <row r="11" spans="1:16" x14ac:dyDescent="0.2">
      <c r="A11" s="1" t="s">
        <v>13</v>
      </c>
      <c r="B11" s="52">
        <v>12000</v>
      </c>
      <c r="C11" s="16">
        <v>12000</v>
      </c>
      <c r="D11" s="16">
        <v>67</v>
      </c>
      <c r="E11" s="63">
        <v>804</v>
      </c>
      <c r="F11" s="64">
        <f t="shared" si="0"/>
        <v>21.881123448726324</v>
      </c>
      <c r="H11" s="3"/>
      <c r="I11" s="3"/>
      <c r="J11" s="3"/>
      <c r="K11" s="3"/>
      <c r="L11" s="3"/>
      <c r="M11" s="3"/>
      <c r="N11" s="3"/>
      <c r="O11" s="3"/>
      <c r="P11" s="3"/>
    </row>
    <row r="12" spans="1:16" x14ac:dyDescent="0.2">
      <c r="A12" s="1" t="s">
        <v>14</v>
      </c>
      <c r="B12" s="52">
        <v>41000</v>
      </c>
      <c r="C12" s="16">
        <v>41000</v>
      </c>
      <c r="D12" s="16">
        <v>86</v>
      </c>
      <c r="E12" s="63">
        <v>3526</v>
      </c>
      <c r="F12" s="64">
        <f t="shared" si="0"/>
        <v>95.961245373394291</v>
      </c>
      <c r="H12" s="3"/>
      <c r="I12" s="3"/>
      <c r="J12" s="3"/>
      <c r="K12" s="3"/>
      <c r="L12" s="3"/>
      <c r="M12" s="3"/>
      <c r="N12" s="3"/>
      <c r="O12" s="3"/>
      <c r="P12" s="3"/>
    </row>
    <row r="13" spans="1:16" s="17" customFormat="1" ht="15" x14ac:dyDescent="0.25">
      <c r="A13" s="23" t="s">
        <v>15</v>
      </c>
      <c r="B13" s="54">
        <v>406000</v>
      </c>
      <c r="C13" s="65">
        <v>406000</v>
      </c>
      <c r="D13" s="66">
        <v>85.081280788177338</v>
      </c>
      <c r="E13" s="67">
        <v>34543</v>
      </c>
      <c r="F13" s="68">
        <f t="shared" si="0"/>
        <v>940.09906379272809</v>
      </c>
      <c r="G13" s="23"/>
      <c r="H13" s="9"/>
      <c r="I13" s="9"/>
      <c r="J13" s="9"/>
      <c r="K13" s="9"/>
      <c r="L13" s="9"/>
      <c r="M13" s="9"/>
      <c r="N13" s="9"/>
      <c r="O13" s="9"/>
      <c r="P13" s="9"/>
    </row>
    <row r="14" spans="1:16" x14ac:dyDescent="0.2">
      <c r="A14" s="1" t="s">
        <v>16</v>
      </c>
      <c r="B14" s="52">
        <v>35000</v>
      </c>
      <c r="C14" s="16">
        <v>35000</v>
      </c>
      <c r="D14" s="16">
        <v>77</v>
      </c>
      <c r="E14" s="63">
        <v>2695</v>
      </c>
      <c r="F14" s="64">
        <f t="shared" si="0"/>
        <v>73.345308077509259</v>
      </c>
      <c r="H14" s="3"/>
      <c r="I14" s="3"/>
      <c r="J14" s="3"/>
      <c r="K14" s="3"/>
      <c r="L14" s="3"/>
      <c r="M14" s="3"/>
      <c r="N14" s="3"/>
      <c r="O14" s="3"/>
      <c r="P14" s="3"/>
    </row>
    <row r="15" spans="1:16" x14ac:dyDescent="0.2">
      <c r="A15" s="1" t="s">
        <v>17</v>
      </c>
      <c r="B15" s="52">
        <v>10000</v>
      </c>
      <c r="C15" s="16">
        <v>10000</v>
      </c>
      <c r="D15" s="16">
        <v>64</v>
      </c>
      <c r="E15" s="63">
        <v>640</v>
      </c>
      <c r="F15" s="64">
        <f t="shared" si="0"/>
        <v>17.417809710428912</v>
      </c>
      <c r="H15" s="3"/>
      <c r="I15" s="3"/>
      <c r="J15" s="3"/>
      <c r="K15" s="3"/>
      <c r="L15" s="3"/>
      <c r="M15" s="3"/>
      <c r="N15" s="3"/>
      <c r="O15" s="3"/>
      <c r="P15" s="3"/>
    </row>
    <row r="16" spans="1:16" x14ac:dyDescent="0.2">
      <c r="A16" s="1" t="s">
        <v>18</v>
      </c>
      <c r="B16" s="52">
        <v>8000</v>
      </c>
      <c r="C16" s="16">
        <v>8000</v>
      </c>
      <c r="D16" s="16">
        <v>61</v>
      </c>
      <c r="E16" s="63">
        <v>488</v>
      </c>
      <c r="F16" s="64">
        <f t="shared" si="0"/>
        <v>13.281079904202047</v>
      </c>
      <c r="H16" s="3"/>
      <c r="I16" s="3"/>
      <c r="J16" s="3"/>
      <c r="K16" s="3"/>
      <c r="L16" s="3"/>
      <c r="M16" s="3"/>
      <c r="N16" s="3"/>
      <c r="O16" s="3"/>
      <c r="P16" s="3"/>
    </row>
    <row r="17" spans="1:16" x14ac:dyDescent="0.2">
      <c r="A17" s="1" t="s">
        <v>19</v>
      </c>
      <c r="B17" s="52">
        <v>5000</v>
      </c>
      <c r="C17" s="16">
        <v>5000</v>
      </c>
      <c r="D17" s="16">
        <v>60</v>
      </c>
      <c r="E17" s="63">
        <v>300</v>
      </c>
      <c r="F17" s="64">
        <f t="shared" si="0"/>
        <v>8.1645983017635526</v>
      </c>
      <c r="H17" s="3"/>
      <c r="I17" s="3"/>
      <c r="J17" s="3"/>
      <c r="K17" s="3"/>
      <c r="L17" s="3"/>
      <c r="M17" s="3"/>
      <c r="N17" s="3"/>
      <c r="O17" s="3"/>
      <c r="P17" s="3"/>
    </row>
    <row r="18" spans="1:16" x14ac:dyDescent="0.2">
      <c r="A18" s="1" t="s">
        <v>20</v>
      </c>
      <c r="B18" s="52">
        <v>84000</v>
      </c>
      <c r="C18" s="16">
        <v>84000</v>
      </c>
      <c r="D18" s="16">
        <v>82</v>
      </c>
      <c r="E18" s="63">
        <v>6888</v>
      </c>
      <c r="F18" s="64">
        <f t="shared" si="0"/>
        <v>187.4591770084912</v>
      </c>
      <c r="H18" s="3"/>
      <c r="I18" s="3"/>
      <c r="J18" s="3"/>
      <c r="K18" s="3"/>
      <c r="L18" s="3"/>
      <c r="M18" s="3"/>
      <c r="N18" s="3"/>
      <c r="O18" s="3"/>
      <c r="P18" s="3"/>
    </row>
    <row r="19" spans="1:16" x14ac:dyDescent="0.2">
      <c r="A19" s="1" t="s">
        <v>21</v>
      </c>
      <c r="B19" s="52">
        <v>4000</v>
      </c>
      <c r="C19" s="16">
        <v>4000</v>
      </c>
      <c r="D19" s="16">
        <v>73</v>
      </c>
      <c r="E19" s="63">
        <v>292</v>
      </c>
      <c r="F19" s="64">
        <f t="shared" si="0"/>
        <v>7.9468756803831919</v>
      </c>
      <c r="H19" s="3"/>
      <c r="I19" s="3"/>
      <c r="J19" s="3"/>
      <c r="K19" s="3"/>
      <c r="L19" s="3"/>
      <c r="M19" s="3"/>
      <c r="N19" s="3"/>
      <c r="O19" s="3"/>
      <c r="P19" s="3"/>
    </row>
    <row r="20" spans="1:16" x14ac:dyDescent="0.2">
      <c r="A20" s="1" t="s">
        <v>22</v>
      </c>
      <c r="B20" s="52">
        <v>63000</v>
      </c>
      <c r="C20" s="16">
        <v>63000</v>
      </c>
      <c r="D20" s="16">
        <v>86</v>
      </c>
      <c r="E20" s="63">
        <v>5418</v>
      </c>
      <c r="F20" s="64">
        <f t="shared" si="0"/>
        <v>147.45264532984976</v>
      </c>
      <c r="H20" s="3"/>
      <c r="I20" s="3"/>
      <c r="J20" s="3"/>
      <c r="K20" s="3"/>
      <c r="L20" s="3"/>
      <c r="M20" s="3"/>
      <c r="N20" s="3"/>
      <c r="O20" s="3"/>
      <c r="P20" s="3"/>
    </row>
    <row r="21" spans="1:16" x14ac:dyDescent="0.2">
      <c r="A21" s="1" t="s">
        <v>23</v>
      </c>
      <c r="B21" s="52">
        <v>41000</v>
      </c>
      <c r="C21" s="16">
        <v>41000</v>
      </c>
      <c r="D21" s="16">
        <v>70</v>
      </c>
      <c r="E21" s="63">
        <v>2870</v>
      </c>
      <c r="F21" s="64">
        <f t="shared" si="0"/>
        <v>78.107990420204658</v>
      </c>
      <c r="H21" s="3"/>
      <c r="I21" s="3"/>
      <c r="J21" s="3"/>
      <c r="K21" s="3"/>
      <c r="L21" s="3"/>
      <c r="M21" s="3"/>
      <c r="N21" s="3"/>
      <c r="O21" s="3"/>
      <c r="P21" s="3"/>
    </row>
    <row r="22" spans="1:16" x14ac:dyDescent="0.2">
      <c r="A22" s="1" t="s">
        <v>24</v>
      </c>
      <c r="B22" s="52">
        <v>18000</v>
      </c>
      <c r="C22" s="16">
        <v>18000</v>
      </c>
      <c r="D22" s="16">
        <v>73</v>
      </c>
      <c r="E22" s="63">
        <v>1314</v>
      </c>
      <c r="F22" s="64">
        <f t="shared" si="0"/>
        <v>35.760940561724361</v>
      </c>
      <c r="H22" s="3"/>
      <c r="I22" s="3"/>
      <c r="J22" s="3"/>
      <c r="K22" s="3"/>
      <c r="L22" s="3"/>
      <c r="M22" s="3"/>
      <c r="N22" s="3"/>
      <c r="O22" s="3"/>
      <c r="P22" s="3"/>
    </row>
    <row r="23" spans="1:16" x14ac:dyDescent="0.2">
      <c r="A23" s="1" t="s">
        <v>25</v>
      </c>
      <c r="B23" s="52">
        <v>60000</v>
      </c>
      <c r="C23" s="16">
        <v>60000</v>
      </c>
      <c r="D23" s="16">
        <v>76</v>
      </c>
      <c r="E23" s="63">
        <v>4560</v>
      </c>
      <c r="F23" s="64">
        <f t="shared" si="0"/>
        <v>124.10189418680601</v>
      </c>
      <c r="H23" s="3"/>
      <c r="I23" s="3"/>
      <c r="J23" s="3"/>
      <c r="K23" s="3"/>
      <c r="L23" s="3"/>
      <c r="M23" s="3"/>
      <c r="N23" s="3"/>
      <c r="O23" s="3"/>
      <c r="P23" s="3"/>
    </row>
    <row r="24" spans="1:16" s="17" customFormat="1" ht="15" x14ac:dyDescent="0.25">
      <c r="A24" s="23" t="s">
        <v>26</v>
      </c>
      <c r="B24" s="54">
        <v>328000</v>
      </c>
      <c r="C24" s="65">
        <v>328000</v>
      </c>
      <c r="D24" s="66">
        <v>77.637195121951223</v>
      </c>
      <c r="E24" s="67">
        <v>25465</v>
      </c>
      <c r="F24" s="68">
        <f t="shared" si="0"/>
        <v>693.03831918136291</v>
      </c>
      <c r="G24" s="23"/>
      <c r="H24" s="9"/>
      <c r="I24" s="9"/>
      <c r="J24" s="9"/>
      <c r="K24" s="9"/>
      <c r="L24" s="9"/>
      <c r="M24" s="9"/>
      <c r="N24" s="9"/>
      <c r="O24" s="9"/>
      <c r="P24" s="9"/>
    </row>
    <row r="25" spans="1:16" x14ac:dyDescent="0.2">
      <c r="A25" s="1" t="s">
        <v>27</v>
      </c>
      <c r="B25" s="52">
        <v>14000</v>
      </c>
      <c r="C25" s="16">
        <v>14000</v>
      </c>
      <c r="D25" s="16">
        <v>65</v>
      </c>
      <c r="E25" s="63">
        <v>910</v>
      </c>
      <c r="F25" s="64">
        <f t="shared" si="0"/>
        <v>24.76594818201611</v>
      </c>
      <c r="H25" s="3"/>
      <c r="I25" s="3"/>
      <c r="J25" s="3"/>
      <c r="K25" s="3"/>
      <c r="L25" s="3"/>
      <c r="M25" s="3"/>
      <c r="N25" s="3"/>
      <c r="O25" s="3"/>
      <c r="P25" s="3"/>
    </row>
    <row r="26" spans="1:16" x14ac:dyDescent="0.2">
      <c r="A26" s="1" t="s">
        <v>28</v>
      </c>
      <c r="B26" s="69" t="s">
        <v>64</v>
      </c>
      <c r="C26" s="69" t="s">
        <v>64</v>
      </c>
      <c r="D26" s="69" t="s">
        <v>64</v>
      </c>
      <c r="E26" s="69" t="s">
        <v>64</v>
      </c>
      <c r="F26" s="69" t="s">
        <v>64</v>
      </c>
      <c r="H26" s="3"/>
      <c r="I26" s="3"/>
      <c r="J26" s="3"/>
      <c r="K26" s="3"/>
      <c r="L26" s="3"/>
      <c r="M26" s="3"/>
      <c r="N26" s="3"/>
      <c r="O26" s="3"/>
      <c r="P26" s="3"/>
    </row>
    <row r="27" spans="1:16" x14ac:dyDescent="0.2">
      <c r="A27" s="1" t="s">
        <v>29</v>
      </c>
      <c r="B27" s="52">
        <v>4000</v>
      </c>
      <c r="C27" s="16">
        <v>4000</v>
      </c>
      <c r="D27" s="16">
        <v>53</v>
      </c>
      <c r="E27" s="63">
        <v>212</v>
      </c>
      <c r="F27" s="64">
        <f t="shared" si="0"/>
        <v>5.7696494665795779</v>
      </c>
      <c r="H27" s="3"/>
      <c r="I27" s="3"/>
      <c r="J27" s="3"/>
      <c r="K27" s="3"/>
      <c r="L27" s="3"/>
      <c r="M27" s="3"/>
      <c r="N27" s="3"/>
      <c r="O27" s="3"/>
      <c r="P27" s="3"/>
    </row>
    <row r="28" spans="1:16" x14ac:dyDescent="0.2">
      <c r="A28" s="1" t="s">
        <v>30</v>
      </c>
      <c r="B28" s="52">
        <v>11000</v>
      </c>
      <c r="C28" s="16">
        <v>11000</v>
      </c>
      <c r="D28" s="16">
        <v>58</v>
      </c>
      <c r="E28" s="63">
        <v>638</v>
      </c>
      <c r="F28" s="64">
        <f t="shared" si="0"/>
        <v>17.363379055083822</v>
      </c>
      <c r="H28" s="3"/>
      <c r="I28" s="3"/>
      <c r="J28" s="3"/>
      <c r="K28" s="3"/>
      <c r="L28" s="3"/>
      <c r="M28" s="3"/>
      <c r="N28" s="3"/>
      <c r="O28" s="3"/>
      <c r="P28" s="3"/>
    </row>
    <row r="29" spans="1:16" x14ac:dyDescent="0.2">
      <c r="A29" s="1" t="s">
        <v>31</v>
      </c>
      <c r="B29" s="69" t="s">
        <v>64</v>
      </c>
      <c r="C29" s="69" t="s">
        <v>64</v>
      </c>
      <c r="D29" s="69" t="s">
        <v>64</v>
      </c>
      <c r="E29" s="69" t="s">
        <v>64</v>
      </c>
      <c r="F29" s="69" t="s">
        <v>64</v>
      </c>
      <c r="H29" s="3"/>
      <c r="I29" s="3"/>
      <c r="J29" s="3"/>
      <c r="K29" s="3"/>
      <c r="L29" s="3"/>
      <c r="M29" s="3"/>
      <c r="N29" s="3"/>
      <c r="O29" s="3"/>
      <c r="P29" s="3"/>
    </row>
    <row r="30" spans="1:16" x14ac:dyDescent="0.2">
      <c r="A30" s="1" t="s">
        <v>32</v>
      </c>
      <c r="B30" s="52">
        <v>18000</v>
      </c>
      <c r="C30" s="16">
        <v>18000</v>
      </c>
      <c r="D30" s="16">
        <v>55</v>
      </c>
      <c r="E30" s="63">
        <v>990</v>
      </c>
      <c r="F30" s="64">
        <f t="shared" si="0"/>
        <v>26.943174395819725</v>
      </c>
      <c r="H30" s="3"/>
      <c r="I30" s="3"/>
      <c r="J30" s="3"/>
      <c r="K30" s="3"/>
      <c r="L30" s="3"/>
      <c r="M30" s="3"/>
      <c r="N30" s="3"/>
      <c r="O30" s="3"/>
      <c r="P30" s="3"/>
    </row>
    <row r="31" spans="1:16" x14ac:dyDescent="0.2">
      <c r="A31" s="1" t="s">
        <v>33</v>
      </c>
      <c r="B31" s="69" t="s">
        <v>64</v>
      </c>
      <c r="C31" s="69" t="s">
        <v>64</v>
      </c>
      <c r="D31" s="69" t="s">
        <v>64</v>
      </c>
      <c r="E31" s="69" t="s">
        <v>64</v>
      </c>
      <c r="F31" s="69" t="s">
        <v>64</v>
      </c>
      <c r="H31" s="3"/>
      <c r="I31" s="3"/>
      <c r="J31" s="3"/>
      <c r="K31" s="3"/>
      <c r="L31" s="3"/>
      <c r="M31" s="3"/>
      <c r="N31" s="3"/>
      <c r="O31" s="3"/>
      <c r="P31" s="3"/>
    </row>
    <row r="32" spans="1:16" x14ac:dyDescent="0.2">
      <c r="A32" s="1" t="s">
        <v>34</v>
      </c>
      <c r="B32" s="52">
        <v>6000</v>
      </c>
      <c r="C32" s="16">
        <v>6000</v>
      </c>
      <c r="D32" s="16">
        <v>60</v>
      </c>
      <c r="E32" s="63">
        <v>360</v>
      </c>
      <c r="F32" s="64">
        <f t="shared" si="0"/>
        <v>9.7975179621162631</v>
      </c>
      <c r="H32" s="3"/>
      <c r="I32" s="3"/>
      <c r="J32" s="3"/>
      <c r="K32" s="3"/>
      <c r="L32" s="3"/>
      <c r="M32" s="3"/>
      <c r="N32" s="3"/>
      <c r="O32" s="3"/>
      <c r="P32" s="3"/>
    </row>
    <row r="33" spans="1:16" x14ac:dyDescent="0.2">
      <c r="A33" s="1" t="s">
        <v>35</v>
      </c>
      <c r="B33" s="52">
        <v>12000</v>
      </c>
      <c r="C33" s="16">
        <v>12000</v>
      </c>
      <c r="D33" s="16">
        <v>57</v>
      </c>
      <c r="E33" s="63">
        <v>684</v>
      </c>
      <c r="F33" s="64">
        <f t="shared" si="0"/>
        <v>18.615284128020903</v>
      </c>
      <c r="H33" s="3"/>
      <c r="I33" s="3"/>
      <c r="J33" s="3"/>
      <c r="K33" s="3"/>
      <c r="L33" s="3"/>
      <c r="M33" s="3"/>
      <c r="N33" s="3"/>
      <c r="O33" s="3"/>
      <c r="P33" s="3"/>
    </row>
    <row r="34" spans="1:16" x14ac:dyDescent="0.2">
      <c r="A34" s="1" t="s">
        <v>36</v>
      </c>
      <c r="B34" s="52">
        <v>7000</v>
      </c>
      <c r="C34" s="16">
        <v>7000</v>
      </c>
      <c r="D34" s="16">
        <v>59</v>
      </c>
      <c r="E34" s="63">
        <v>413</v>
      </c>
      <c r="F34" s="64">
        <f t="shared" si="0"/>
        <v>11.239930328761158</v>
      </c>
      <c r="H34" s="3"/>
      <c r="I34" s="3"/>
      <c r="J34" s="3"/>
      <c r="K34" s="3"/>
      <c r="L34" s="3"/>
      <c r="M34" s="3"/>
      <c r="N34" s="3"/>
      <c r="O34" s="3"/>
      <c r="P34" s="3"/>
    </row>
    <row r="35" spans="1:16" s="17" customFormat="1" ht="15" x14ac:dyDescent="0.25">
      <c r="A35" s="23" t="s">
        <v>37</v>
      </c>
      <c r="B35" s="54">
        <v>72000</v>
      </c>
      <c r="C35" s="65">
        <v>72000</v>
      </c>
      <c r="D35" s="66">
        <v>58.430555555555557</v>
      </c>
      <c r="E35" s="67">
        <v>4207</v>
      </c>
      <c r="F35" s="68">
        <f t="shared" si="0"/>
        <v>114.49488351839756</v>
      </c>
      <c r="G35" s="23"/>
      <c r="H35" s="9"/>
      <c r="I35" s="9"/>
      <c r="J35" s="9"/>
      <c r="K35" s="9"/>
      <c r="L35" s="9"/>
      <c r="M35" s="9"/>
      <c r="N35" s="9"/>
      <c r="O35" s="9"/>
      <c r="P35" s="9"/>
    </row>
    <row r="36" spans="1:16" x14ac:dyDescent="0.2">
      <c r="A36" s="1" t="s">
        <v>38</v>
      </c>
      <c r="B36" s="52">
        <v>800</v>
      </c>
      <c r="C36" s="16">
        <v>800</v>
      </c>
      <c r="D36" s="16">
        <v>58</v>
      </c>
      <c r="E36" s="69">
        <v>46</v>
      </c>
      <c r="F36" s="64">
        <f t="shared" si="0"/>
        <v>1.2519050729370782</v>
      </c>
      <c r="H36" s="3"/>
      <c r="I36" s="3"/>
      <c r="J36" s="3"/>
      <c r="K36" s="3"/>
      <c r="L36" s="3"/>
      <c r="M36" s="3"/>
      <c r="N36" s="3"/>
      <c r="O36" s="3"/>
      <c r="P36" s="3"/>
    </row>
    <row r="37" spans="1:16" x14ac:dyDescent="0.2">
      <c r="A37" s="1" t="s">
        <v>39</v>
      </c>
      <c r="B37" s="69" t="s">
        <v>64</v>
      </c>
      <c r="C37" s="69" t="s">
        <v>64</v>
      </c>
      <c r="D37" s="69" t="s">
        <v>64</v>
      </c>
      <c r="E37" s="69" t="s">
        <v>64</v>
      </c>
      <c r="F37" s="69" t="s">
        <v>64</v>
      </c>
      <c r="H37" s="3"/>
      <c r="I37" s="3"/>
      <c r="J37" s="3"/>
      <c r="K37" s="3"/>
      <c r="L37" s="3"/>
      <c r="M37" s="3"/>
      <c r="N37" s="3"/>
      <c r="O37" s="3"/>
      <c r="P37" s="3"/>
    </row>
    <row r="38" spans="1:16" x14ac:dyDescent="0.2">
      <c r="A38" s="1" t="s">
        <v>40</v>
      </c>
      <c r="B38" s="69" t="s">
        <v>64</v>
      </c>
      <c r="C38" s="69" t="s">
        <v>64</v>
      </c>
      <c r="D38" s="69" t="s">
        <v>64</v>
      </c>
      <c r="E38" s="69" t="s">
        <v>64</v>
      </c>
      <c r="F38" s="69" t="s">
        <v>64</v>
      </c>
      <c r="H38" s="3"/>
      <c r="I38" s="3"/>
      <c r="J38" s="3"/>
      <c r="K38" s="3"/>
      <c r="L38" s="3"/>
      <c r="M38" s="3"/>
      <c r="N38" s="3"/>
      <c r="O38" s="3"/>
      <c r="P38" s="3"/>
    </row>
    <row r="39" spans="1:16" x14ac:dyDescent="0.2">
      <c r="A39" s="1" t="s">
        <v>41</v>
      </c>
      <c r="B39" s="52">
        <v>3000</v>
      </c>
      <c r="C39" s="16">
        <v>3000</v>
      </c>
      <c r="D39" s="16">
        <v>66</v>
      </c>
      <c r="E39" s="63">
        <v>198</v>
      </c>
      <c r="F39" s="64">
        <f t="shared" si="0"/>
        <v>5.3886348791639449</v>
      </c>
      <c r="H39" s="3"/>
      <c r="I39" s="3"/>
      <c r="J39" s="3"/>
      <c r="K39" s="3"/>
      <c r="L39" s="3"/>
      <c r="M39" s="3"/>
      <c r="N39" s="3"/>
      <c r="O39" s="3"/>
      <c r="P39" s="3"/>
    </row>
    <row r="40" spans="1:16" x14ac:dyDescent="0.2">
      <c r="A40" s="1" t="s">
        <v>42</v>
      </c>
      <c r="B40" s="52">
        <v>500</v>
      </c>
      <c r="C40" s="16">
        <v>500</v>
      </c>
      <c r="D40" s="16">
        <v>84</v>
      </c>
      <c r="E40" s="69">
        <v>42</v>
      </c>
      <c r="F40" s="64">
        <f t="shared" si="0"/>
        <v>1.1430437622468974</v>
      </c>
      <c r="H40" s="3"/>
      <c r="I40" s="3"/>
      <c r="J40" s="3"/>
      <c r="K40" s="3"/>
      <c r="L40" s="3"/>
      <c r="M40" s="3"/>
      <c r="N40" s="3"/>
      <c r="O40" s="3"/>
      <c r="P40" s="3"/>
    </row>
    <row r="41" spans="1:16" x14ac:dyDescent="0.2">
      <c r="A41" s="1" t="s">
        <v>43</v>
      </c>
      <c r="B41" s="69" t="s">
        <v>64</v>
      </c>
      <c r="C41" s="69" t="s">
        <v>64</v>
      </c>
      <c r="D41" s="69" t="s">
        <v>64</v>
      </c>
      <c r="E41" s="69" t="s">
        <v>64</v>
      </c>
      <c r="F41" s="69" t="s">
        <v>64</v>
      </c>
      <c r="H41" s="3"/>
      <c r="I41" s="3"/>
      <c r="J41" s="3"/>
      <c r="K41" s="3"/>
      <c r="L41" s="3"/>
      <c r="M41" s="3"/>
      <c r="N41" s="3"/>
      <c r="O41" s="3"/>
      <c r="P41" s="3"/>
    </row>
    <row r="42" spans="1:16" x14ac:dyDescent="0.2">
      <c r="A42" s="1" t="s">
        <v>44</v>
      </c>
      <c r="B42" s="52">
        <v>1000</v>
      </c>
      <c r="C42" s="16">
        <v>1000</v>
      </c>
      <c r="D42" s="16">
        <v>64</v>
      </c>
      <c r="E42" s="63">
        <v>64</v>
      </c>
      <c r="F42" s="64">
        <f t="shared" si="0"/>
        <v>1.7417809710428913</v>
      </c>
      <c r="H42" s="3"/>
      <c r="I42" s="3"/>
      <c r="J42" s="3"/>
      <c r="K42" s="3"/>
      <c r="L42" s="3"/>
      <c r="M42" s="3"/>
      <c r="N42" s="3"/>
      <c r="O42" s="3"/>
      <c r="P42" s="3"/>
    </row>
    <row r="43" spans="1:16" x14ac:dyDescent="0.2">
      <c r="A43" s="1" t="s">
        <v>45</v>
      </c>
      <c r="B43" s="69" t="s">
        <v>64</v>
      </c>
      <c r="C43" s="69" t="s">
        <v>64</v>
      </c>
      <c r="D43" s="69" t="s">
        <v>64</v>
      </c>
      <c r="E43" s="69" t="s">
        <v>64</v>
      </c>
      <c r="F43" s="69" t="s">
        <v>64</v>
      </c>
      <c r="H43" s="3"/>
      <c r="I43" s="3"/>
      <c r="J43" s="3"/>
      <c r="K43" s="3"/>
      <c r="L43" s="3"/>
      <c r="M43" s="3"/>
      <c r="N43" s="3"/>
      <c r="O43" s="3"/>
      <c r="P43" s="3"/>
    </row>
    <row r="44" spans="1:16" s="17" customFormat="1" ht="15" x14ac:dyDescent="0.25">
      <c r="A44" s="23" t="s">
        <v>46</v>
      </c>
      <c r="B44" s="54">
        <v>6000</v>
      </c>
      <c r="C44" s="65">
        <v>6000</v>
      </c>
      <c r="D44" s="66">
        <v>64</v>
      </c>
      <c r="E44" s="65">
        <v>384</v>
      </c>
      <c r="F44" s="68">
        <f t="shared" si="0"/>
        <v>10.450685826257349</v>
      </c>
      <c r="G44" s="23"/>
      <c r="H44" s="9"/>
      <c r="I44" s="9"/>
      <c r="J44" s="9"/>
      <c r="K44" s="9"/>
      <c r="L44" s="9"/>
      <c r="M44" s="9"/>
      <c r="N44" s="9"/>
      <c r="O44" s="9"/>
      <c r="P44" s="9"/>
    </row>
    <row r="45" spans="1:16" x14ac:dyDescent="0.2">
      <c r="A45" s="1" t="s">
        <v>47</v>
      </c>
      <c r="B45" s="69" t="s">
        <v>64</v>
      </c>
      <c r="C45" s="69" t="s">
        <v>64</v>
      </c>
      <c r="D45" s="69" t="s">
        <v>64</v>
      </c>
      <c r="E45" s="69" t="s">
        <v>64</v>
      </c>
      <c r="F45" s="69" t="s">
        <v>64</v>
      </c>
      <c r="H45" s="3"/>
      <c r="I45" s="3"/>
      <c r="J45" s="3"/>
      <c r="K45" s="3"/>
      <c r="L45" s="3"/>
      <c r="M45" s="3"/>
      <c r="N45" s="3"/>
      <c r="O45" s="3"/>
      <c r="P45" s="3"/>
    </row>
    <row r="46" spans="1:16" x14ac:dyDescent="0.2">
      <c r="A46" s="1" t="s">
        <v>48</v>
      </c>
      <c r="B46" s="69" t="s">
        <v>64</v>
      </c>
      <c r="C46" s="69" t="s">
        <v>64</v>
      </c>
      <c r="D46" s="69" t="s">
        <v>64</v>
      </c>
      <c r="E46" s="69" t="s">
        <v>64</v>
      </c>
      <c r="F46" s="69" t="s">
        <v>64</v>
      </c>
      <c r="H46" s="3"/>
      <c r="I46" s="3"/>
      <c r="J46" s="3"/>
      <c r="K46" s="3"/>
      <c r="L46" s="3"/>
      <c r="M46" s="3"/>
      <c r="N46" s="3"/>
      <c r="O46" s="3"/>
      <c r="P46" s="3"/>
    </row>
    <row r="47" spans="1:16" x14ac:dyDescent="0.2">
      <c r="A47" s="24" t="s">
        <v>49</v>
      </c>
      <c r="B47" s="69" t="s">
        <v>64</v>
      </c>
      <c r="C47" s="69" t="s">
        <v>64</v>
      </c>
      <c r="D47" s="69" t="s">
        <v>64</v>
      </c>
      <c r="E47" s="69" t="s">
        <v>64</v>
      </c>
      <c r="F47" s="69" t="s">
        <v>64</v>
      </c>
      <c r="G47" s="24"/>
      <c r="H47" s="3"/>
      <c r="I47" s="3"/>
      <c r="J47" s="3"/>
      <c r="K47" s="3"/>
      <c r="L47" s="3"/>
      <c r="M47" s="3"/>
      <c r="N47" s="3"/>
      <c r="O47" s="3"/>
      <c r="P47" s="3"/>
    </row>
    <row r="48" spans="1:16" x14ac:dyDescent="0.2">
      <c r="A48" s="1" t="s">
        <v>50</v>
      </c>
      <c r="B48" s="69" t="s">
        <v>64</v>
      </c>
      <c r="C48" s="69" t="s">
        <v>64</v>
      </c>
      <c r="D48" s="69" t="s">
        <v>64</v>
      </c>
      <c r="E48" s="69" t="s">
        <v>64</v>
      </c>
      <c r="F48" s="69" t="s">
        <v>64</v>
      </c>
      <c r="H48" s="3"/>
      <c r="I48" s="3"/>
      <c r="J48" s="3"/>
      <c r="K48" s="3"/>
      <c r="L48" s="3"/>
      <c r="M48" s="3"/>
      <c r="N48" s="3"/>
      <c r="O48" s="3"/>
      <c r="P48" s="3"/>
    </row>
    <row r="49" spans="1:16" x14ac:dyDescent="0.2">
      <c r="A49" s="1" t="s">
        <v>51</v>
      </c>
      <c r="B49" s="69" t="s">
        <v>64</v>
      </c>
      <c r="C49" s="69" t="s">
        <v>64</v>
      </c>
      <c r="D49" s="69" t="s">
        <v>64</v>
      </c>
      <c r="E49" s="69" t="s">
        <v>64</v>
      </c>
      <c r="F49" s="69" t="s">
        <v>64</v>
      </c>
      <c r="H49" s="3"/>
      <c r="I49" s="3"/>
      <c r="J49" s="3"/>
      <c r="K49" s="3"/>
      <c r="L49" s="3"/>
      <c r="M49" s="3"/>
      <c r="N49" s="3"/>
      <c r="O49" s="3"/>
      <c r="P49" s="3"/>
    </row>
    <row r="50" spans="1:16" x14ac:dyDescent="0.2">
      <c r="A50" s="1" t="s">
        <v>52</v>
      </c>
      <c r="B50" s="69" t="s">
        <v>64</v>
      </c>
      <c r="C50" s="69" t="s">
        <v>64</v>
      </c>
      <c r="D50" s="69" t="s">
        <v>64</v>
      </c>
      <c r="E50" s="69" t="s">
        <v>64</v>
      </c>
      <c r="F50" s="69" t="s">
        <v>64</v>
      </c>
      <c r="H50" s="3"/>
      <c r="I50" s="3"/>
      <c r="J50" s="3"/>
      <c r="K50" s="3"/>
      <c r="L50" s="3"/>
      <c r="M50" s="3"/>
      <c r="N50" s="3"/>
      <c r="O50" s="3"/>
      <c r="P50" s="3"/>
    </row>
    <row r="51" spans="1:16" x14ac:dyDescent="0.2">
      <c r="A51" s="1" t="s">
        <v>53</v>
      </c>
      <c r="B51" s="69" t="s">
        <v>64</v>
      </c>
      <c r="C51" s="69" t="s">
        <v>64</v>
      </c>
      <c r="D51" s="69" t="s">
        <v>64</v>
      </c>
      <c r="E51" s="69" t="s">
        <v>64</v>
      </c>
      <c r="F51" s="69" t="s">
        <v>64</v>
      </c>
      <c r="H51" s="3"/>
      <c r="I51" s="3"/>
      <c r="J51" s="3"/>
      <c r="K51" s="3"/>
      <c r="L51" s="3"/>
      <c r="M51" s="3"/>
      <c r="N51" s="3"/>
      <c r="O51" s="3"/>
      <c r="P51" s="3"/>
    </row>
    <row r="52" spans="1:16" x14ac:dyDescent="0.2">
      <c r="A52" s="1" t="s">
        <v>54</v>
      </c>
      <c r="B52" s="69" t="s">
        <v>64</v>
      </c>
      <c r="C52" s="69" t="s">
        <v>64</v>
      </c>
      <c r="D52" s="69" t="s">
        <v>64</v>
      </c>
      <c r="E52" s="69" t="s">
        <v>64</v>
      </c>
      <c r="F52" s="69" t="s">
        <v>64</v>
      </c>
      <c r="H52" s="3"/>
      <c r="I52" s="3"/>
      <c r="J52" s="3"/>
      <c r="K52" s="3"/>
      <c r="L52" s="3"/>
      <c r="M52" s="3"/>
      <c r="N52" s="3"/>
      <c r="O52" s="3"/>
      <c r="P52" s="3"/>
    </row>
    <row r="53" spans="1:16" x14ac:dyDescent="0.2">
      <c r="A53" s="1" t="s">
        <v>55</v>
      </c>
      <c r="B53" s="69" t="s">
        <v>64</v>
      </c>
      <c r="C53" s="69" t="s">
        <v>64</v>
      </c>
      <c r="D53" s="69" t="s">
        <v>64</v>
      </c>
      <c r="E53" s="69" t="s">
        <v>64</v>
      </c>
      <c r="F53" s="69" t="s">
        <v>64</v>
      </c>
      <c r="H53" s="3"/>
      <c r="I53" s="3"/>
      <c r="J53" s="3"/>
      <c r="K53" s="3"/>
      <c r="L53" s="3"/>
      <c r="M53" s="3"/>
      <c r="N53" s="3"/>
      <c r="O53" s="3"/>
      <c r="P53" s="3"/>
    </row>
    <row r="54" spans="1:16" x14ac:dyDescent="0.2">
      <c r="A54" s="1" t="s">
        <v>56</v>
      </c>
      <c r="B54" s="69">
        <v>2500</v>
      </c>
      <c r="C54" s="69">
        <v>2500</v>
      </c>
      <c r="D54" s="69">
        <v>66</v>
      </c>
      <c r="E54" s="69">
        <v>165</v>
      </c>
      <c r="F54" s="64">
        <f t="shared" si="0"/>
        <v>4.4905290659699544</v>
      </c>
      <c r="H54" s="3"/>
      <c r="I54" s="3"/>
      <c r="J54" s="3"/>
      <c r="K54" s="3"/>
      <c r="L54" s="3"/>
      <c r="M54" s="3"/>
      <c r="N54" s="3"/>
      <c r="O54" s="3"/>
      <c r="P54" s="3"/>
    </row>
    <row r="55" spans="1:16" s="17" customFormat="1" ht="15" x14ac:dyDescent="0.25">
      <c r="A55" s="23" t="s">
        <v>57</v>
      </c>
      <c r="B55" s="54">
        <v>3000</v>
      </c>
      <c r="C55" s="65">
        <v>3000</v>
      </c>
      <c r="D55" s="66">
        <v>67</v>
      </c>
      <c r="E55" s="65">
        <v>201</v>
      </c>
      <c r="F55" s="68">
        <f t="shared" si="0"/>
        <v>5.470280862181581</v>
      </c>
      <c r="G55" s="23"/>
      <c r="H55" s="9"/>
      <c r="I55" s="9"/>
      <c r="J55" s="9"/>
      <c r="K55" s="9"/>
      <c r="L55" s="9"/>
      <c r="M55" s="9"/>
      <c r="N55" s="9"/>
      <c r="O55" s="9"/>
      <c r="P55" s="9"/>
    </row>
    <row r="56" spans="1:16" s="17" customFormat="1" ht="15" x14ac:dyDescent="0.25">
      <c r="A56" s="17" t="s">
        <v>0</v>
      </c>
      <c r="B56" s="54">
        <v>815000</v>
      </c>
      <c r="C56" s="65">
        <v>815000</v>
      </c>
      <c r="D56" s="66">
        <v>79.509202453987726</v>
      </c>
      <c r="E56" s="65">
        <v>64800</v>
      </c>
      <c r="F56" s="68">
        <f t="shared" si="0"/>
        <v>1763.5532331809275</v>
      </c>
      <c r="H56" s="9"/>
      <c r="I56" s="9"/>
      <c r="J56" s="9"/>
      <c r="K56" s="9"/>
      <c r="L56" s="9"/>
      <c r="M56" s="9"/>
      <c r="N56" s="9"/>
      <c r="O56" s="9"/>
      <c r="P56" s="9"/>
    </row>
    <row r="57" spans="1:16" s="22" customFormat="1" x14ac:dyDescent="0.2">
      <c r="A57" s="20"/>
      <c r="B57" s="20"/>
      <c r="C57" s="16"/>
      <c r="D57" s="20"/>
      <c r="E57" s="15"/>
      <c r="F57" s="21"/>
      <c r="G57" s="20"/>
      <c r="H57" s="20"/>
      <c r="I57" s="20"/>
      <c r="J57" s="20"/>
      <c r="K57" s="20"/>
      <c r="L57" s="20"/>
      <c r="M57" s="20"/>
      <c r="N57" s="20"/>
      <c r="O57" s="20"/>
      <c r="P57" s="20"/>
    </row>
    <row r="58" spans="1:16" ht="180.75" customHeight="1" x14ac:dyDescent="0.2">
      <c r="A58" s="110" t="s">
        <v>58</v>
      </c>
      <c r="B58" s="110"/>
      <c r="C58" s="110"/>
      <c r="D58" s="110"/>
      <c r="E58" s="110"/>
      <c r="F58" s="110"/>
      <c r="G58" s="3"/>
      <c r="H58" s="3"/>
      <c r="I58" s="3"/>
      <c r="J58" s="3"/>
      <c r="K58" s="3"/>
      <c r="L58" s="3"/>
      <c r="M58" s="3"/>
      <c r="N58" s="3"/>
      <c r="O58" s="3"/>
      <c r="P58" s="3"/>
    </row>
    <row r="59" spans="1:16" ht="15" x14ac:dyDescent="0.2">
      <c r="A59"/>
      <c r="B59" s="6"/>
      <c r="C59" s="6"/>
      <c r="D59" s="8"/>
      <c r="E59" s="12"/>
      <c r="F59" s="14"/>
      <c r="G59" s="3"/>
      <c r="H59" s="3"/>
      <c r="I59" s="3"/>
      <c r="J59" s="3"/>
      <c r="K59" s="3"/>
      <c r="L59" s="3"/>
      <c r="M59" s="3"/>
      <c r="N59" s="3"/>
      <c r="O59" s="3"/>
      <c r="P59" s="3"/>
    </row>
    <row r="60" spans="1:16" ht="15" x14ac:dyDescent="0.25">
      <c r="A60" s="70" t="s">
        <v>77</v>
      </c>
      <c r="B60" s="6"/>
      <c r="C60" s="6"/>
      <c r="D60" s="8"/>
      <c r="E60" s="6"/>
      <c r="F60" s="7"/>
      <c r="G60" s="3"/>
      <c r="H60" s="3"/>
      <c r="I60" s="3"/>
      <c r="J60" s="3"/>
      <c r="K60" s="3"/>
      <c r="L60" s="3"/>
      <c r="M60" s="3"/>
      <c r="N60" s="3"/>
      <c r="O60" s="3"/>
      <c r="P60" s="3"/>
    </row>
    <row r="61" spans="1:16" x14ac:dyDescent="0.2">
      <c r="A61" s="3"/>
      <c r="B61" s="6"/>
      <c r="C61" s="6"/>
      <c r="D61" s="8"/>
      <c r="E61" s="6"/>
      <c r="F61" s="7"/>
      <c r="G61" s="3"/>
      <c r="H61" s="3"/>
      <c r="I61" s="3"/>
      <c r="J61" s="3"/>
      <c r="K61" s="3"/>
      <c r="L61" s="3"/>
      <c r="M61" s="3"/>
      <c r="N61" s="3"/>
      <c r="O61" s="3"/>
      <c r="P61" s="3"/>
    </row>
    <row r="62" spans="1:16" x14ac:dyDescent="0.2">
      <c r="A62" s="3"/>
      <c r="B62" s="6"/>
      <c r="C62" s="6"/>
      <c r="D62" s="8"/>
      <c r="E62" s="6"/>
      <c r="F62" s="7"/>
      <c r="G62" s="3"/>
      <c r="H62" s="3"/>
      <c r="I62" s="3"/>
      <c r="J62" s="3"/>
      <c r="K62" s="3"/>
      <c r="L62" s="3"/>
      <c r="M62" s="3"/>
      <c r="N62" s="3"/>
      <c r="O62" s="3"/>
      <c r="P62" s="3"/>
    </row>
    <row r="63" spans="1:16" x14ac:dyDescent="0.2">
      <c r="A63" s="3"/>
      <c r="B63" s="6"/>
      <c r="C63" s="6"/>
      <c r="D63" s="8"/>
      <c r="E63" s="6"/>
      <c r="F63" s="7"/>
      <c r="G63" s="3"/>
      <c r="H63" s="3"/>
      <c r="I63" s="3"/>
      <c r="J63" s="3"/>
      <c r="K63" s="3"/>
      <c r="L63" s="3"/>
      <c r="M63" s="3"/>
      <c r="N63" s="3"/>
      <c r="O63" s="3"/>
      <c r="P63" s="3"/>
    </row>
    <row r="64" spans="1:16" x14ac:dyDescent="0.2">
      <c r="A64" s="3"/>
      <c r="B64" s="6"/>
      <c r="C64" s="6"/>
      <c r="D64" s="8"/>
      <c r="E64" s="6"/>
      <c r="F64" s="7"/>
      <c r="G64" s="3"/>
      <c r="H64" s="3"/>
      <c r="I64" s="3"/>
      <c r="J64" s="3"/>
      <c r="K64" s="3"/>
      <c r="L64" s="3"/>
      <c r="M64" s="3"/>
      <c r="N64" s="3"/>
      <c r="O64" s="3"/>
      <c r="P64" s="3"/>
    </row>
    <row r="65" spans="1:16" x14ac:dyDescent="0.2">
      <c r="A65" s="3"/>
      <c r="B65" s="6"/>
      <c r="C65" s="6"/>
      <c r="D65" s="8"/>
      <c r="E65" s="6"/>
      <c r="F65" s="7"/>
      <c r="G65" s="3"/>
      <c r="H65" s="3"/>
      <c r="I65" s="3"/>
      <c r="J65" s="3"/>
      <c r="K65" s="3"/>
      <c r="L65" s="3"/>
      <c r="M65" s="3"/>
      <c r="N65" s="3"/>
      <c r="O65" s="3"/>
      <c r="P65" s="3"/>
    </row>
    <row r="66" spans="1:16" x14ac:dyDescent="0.2">
      <c r="A66" s="3"/>
      <c r="B66" s="6"/>
      <c r="C66" s="6"/>
      <c r="D66" s="8"/>
      <c r="E66" s="6"/>
      <c r="F66" s="7"/>
      <c r="G66" s="3"/>
      <c r="H66" s="3"/>
      <c r="I66" s="3"/>
      <c r="J66" s="3"/>
      <c r="K66" s="3"/>
      <c r="L66" s="3"/>
      <c r="M66" s="3"/>
      <c r="N66" s="3"/>
      <c r="O66" s="3"/>
      <c r="P66" s="3"/>
    </row>
    <row r="67" spans="1:16" x14ac:dyDescent="0.2">
      <c r="A67" s="3"/>
      <c r="B67" s="6"/>
      <c r="C67" s="6"/>
      <c r="D67" s="8"/>
      <c r="E67" s="6"/>
      <c r="F67" s="7"/>
      <c r="G67" s="3"/>
      <c r="H67" s="3"/>
      <c r="I67" s="3"/>
      <c r="J67" s="3"/>
      <c r="K67" s="3"/>
      <c r="L67" s="3"/>
      <c r="M67" s="3"/>
      <c r="N67" s="3"/>
      <c r="O67" s="3"/>
      <c r="P67" s="3"/>
    </row>
    <row r="68" spans="1:16" x14ac:dyDescent="0.2">
      <c r="A68" s="3"/>
      <c r="B68" s="6"/>
      <c r="C68" s="6"/>
      <c r="D68" s="8"/>
      <c r="E68" s="6"/>
      <c r="F68" s="7"/>
      <c r="G68" s="3"/>
      <c r="H68" s="3"/>
      <c r="I68" s="3"/>
      <c r="J68" s="3"/>
      <c r="K68" s="3"/>
      <c r="L68" s="3"/>
      <c r="M68" s="3"/>
      <c r="N68" s="3"/>
      <c r="O68" s="3"/>
      <c r="P68" s="3"/>
    </row>
    <row r="69" spans="1:16" x14ac:dyDescent="0.2">
      <c r="A69" s="3"/>
      <c r="B69" s="3"/>
      <c r="C69" s="3"/>
      <c r="D69" s="3"/>
      <c r="E69" s="6"/>
      <c r="F69" s="7"/>
      <c r="G69" s="3"/>
      <c r="H69" s="3"/>
      <c r="I69" s="3"/>
      <c r="J69" s="3"/>
      <c r="K69" s="3"/>
      <c r="L69" s="3"/>
      <c r="M69" s="3"/>
      <c r="N69" s="3"/>
      <c r="O69" s="3"/>
      <c r="P69" s="3"/>
    </row>
    <row r="70" spans="1:16" x14ac:dyDescent="0.2">
      <c r="A70" s="3"/>
      <c r="B70" s="3"/>
      <c r="C70" s="3"/>
      <c r="D70" s="3"/>
      <c r="E70" s="6"/>
      <c r="F70" s="7"/>
      <c r="G70" s="3"/>
      <c r="H70" s="3"/>
      <c r="I70" s="3"/>
      <c r="J70" s="3"/>
      <c r="K70" s="3"/>
      <c r="L70" s="3"/>
      <c r="M70" s="3"/>
      <c r="N70" s="3"/>
      <c r="O70" s="3"/>
      <c r="P70" s="3"/>
    </row>
    <row r="71" spans="1:16" x14ac:dyDescent="0.2">
      <c r="A71" s="3"/>
      <c r="B71" s="3"/>
      <c r="C71" s="3"/>
      <c r="D71" s="3"/>
      <c r="E71" s="6"/>
      <c r="F71" s="7"/>
      <c r="G71" s="3"/>
      <c r="H71" s="3"/>
      <c r="I71" s="3"/>
      <c r="J71" s="3"/>
      <c r="K71" s="3"/>
      <c r="L71" s="3"/>
      <c r="M71" s="3"/>
      <c r="N71" s="3"/>
      <c r="O71" s="3"/>
      <c r="P71" s="3"/>
    </row>
    <row r="72" spans="1:16" x14ac:dyDescent="0.2">
      <c r="A72" s="3"/>
      <c r="B72" s="3"/>
      <c r="C72" s="3"/>
      <c r="D72" s="3"/>
      <c r="E72" s="6"/>
      <c r="F72" s="7"/>
      <c r="G72" s="3"/>
      <c r="H72" s="3"/>
      <c r="I72" s="3"/>
      <c r="J72" s="3"/>
      <c r="K72" s="3"/>
      <c r="L72" s="3"/>
      <c r="M72" s="3"/>
      <c r="N72" s="3"/>
      <c r="O72" s="3"/>
      <c r="P72" s="3"/>
    </row>
    <row r="73" spans="1:16" x14ac:dyDescent="0.2">
      <c r="A73" s="3"/>
      <c r="B73" s="3"/>
      <c r="C73" s="3"/>
      <c r="D73" s="3"/>
      <c r="E73" s="3"/>
      <c r="F73" s="3"/>
      <c r="G73" s="3"/>
      <c r="H73" s="3"/>
      <c r="I73" s="3"/>
      <c r="J73" s="3"/>
      <c r="K73" s="3"/>
      <c r="L73" s="3"/>
      <c r="M73" s="3"/>
      <c r="N73" s="3"/>
      <c r="O73" s="3"/>
      <c r="P73" s="3"/>
    </row>
    <row r="74" spans="1:16" x14ac:dyDescent="0.2">
      <c r="A74" s="3"/>
      <c r="B74" s="3"/>
      <c r="C74" s="3"/>
      <c r="D74" s="3"/>
      <c r="E74" s="3"/>
      <c r="F74" s="3"/>
      <c r="G74" s="3"/>
      <c r="H74" s="3"/>
      <c r="I74" s="3"/>
      <c r="J74" s="3"/>
      <c r="K74" s="3"/>
      <c r="L74" s="3"/>
      <c r="M74" s="3"/>
      <c r="N74" s="3"/>
      <c r="O74" s="3"/>
      <c r="P74" s="3"/>
    </row>
    <row r="75" spans="1:16" x14ac:dyDescent="0.2">
      <c r="A75" s="3"/>
      <c r="B75" s="3"/>
      <c r="C75" s="3"/>
      <c r="D75" s="3"/>
      <c r="E75" s="3"/>
      <c r="F75" s="3"/>
      <c r="G75" s="3"/>
      <c r="H75" s="3"/>
      <c r="I75" s="3"/>
      <c r="J75" s="3"/>
      <c r="K75" s="3"/>
      <c r="L75" s="3"/>
      <c r="M75" s="3"/>
      <c r="N75" s="3"/>
      <c r="O75" s="3"/>
      <c r="P75" s="3"/>
    </row>
    <row r="76" spans="1:16" x14ac:dyDescent="0.2">
      <c r="A76" s="3"/>
      <c r="B76" s="3"/>
      <c r="C76" s="3"/>
      <c r="D76" s="3"/>
      <c r="E76" s="3"/>
      <c r="F76" s="3"/>
      <c r="G76" s="3"/>
      <c r="H76" s="3"/>
      <c r="I76" s="3"/>
      <c r="J76" s="3"/>
      <c r="K76" s="3"/>
      <c r="L76" s="3"/>
      <c r="M76" s="3"/>
      <c r="N76" s="3"/>
      <c r="O76" s="3"/>
      <c r="P76" s="3"/>
    </row>
    <row r="77" spans="1:16" x14ac:dyDescent="0.2">
      <c r="A77" s="3"/>
      <c r="B77" s="3"/>
      <c r="C77" s="3"/>
      <c r="D77" s="3"/>
      <c r="E77" s="3"/>
      <c r="F77" s="3"/>
      <c r="G77" s="3"/>
      <c r="H77" s="3"/>
      <c r="I77" s="3"/>
      <c r="J77" s="3"/>
      <c r="K77" s="3"/>
      <c r="L77" s="3"/>
      <c r="M77" s="3"/>
      <c r="N77" s="3"/>
      <c r="O77" s="3"/>
      <c r="P77" s="3"/>
    </row>
    <row r="78" spans="1:16" x14ac:dyDescent="0.2">
      <c r="A78" s="3"/>
      <c r="B78" s="3"/>
      <c r="C78" s="3"/>
      <c r="D78" s="3"/>
      <c r="E78" s="3"/>
      <c r="F78" s="3"/>
      <c r="G78" s="3"/>
      <c r="H78" s="3"/>
      <c r="I78" s="3"/>
      <c r="J78" s="3"/>
      <c r="K78" s="3"/>
      <c r="L78" s="3"/>
      <c r="M78" s="3"/>
      <c r="N78" s="3"/>
      <c r="O78" s="3"/>
      <c r="P78" s="3"/>
    </row>
    <row r="79" spans="1:16" x14ac:dyDescent="0.2">
      <c r="A79" s="3"/>
      <c r="E79" s="3"/>
      <c r="F79" s="3"/>
      <c r="G79" s="3"/>
      <c r="H79" s="3"/>
      <c r="I79" s="3"/>
      <c r="J79" s="3"/>
      <c r="K79" s="3"/>
      <c r="L79" s="3"/>
      <c r="M79" s="3"/>
      <c r="N79" s="3"/>
      <c r="O79" s="3"/>
      <c r="P79" s="3"/>
    </row>
    <row r="80" spans="1:16" x14ac:dyDescent="0.2">
      <c r="A80" s="3"/>
      <c r="E80" s="3"/>
      <c r="F80" s="3"/>
      <c r="G80" s="3"/>
      <c r="H80" s="3"/>
      <c r="I80" s="3"/>
      <c r="J80" s="3"/>
      <c r="K80" s="3"/>
      <c r="L80" s="3"/>
      <c r="M80" s="3"/>
      <c r="N80" s="3"/>
      <c r="O80" s="3"/>
      <c r="P80" s="3"/>
    </row>
    <row r="81" spans="1:16" x14ac:dyDescent="0.2">
      <c r="A81" s="3"/>
      <c r="E81" s="3"/>
      <c r="F81" s="3"/>
      <c r="G81" s="3"/>
      <c r="H81" s="3"/>
      <c r="I81" s="3"/>
      <c r="J81" s="3"/>
      <c r="K81" s="3"/>
      <c r="L81" s="3"/>
      <c r="M81" s="3"/>
      <c r="N81" s="3"/>
      <c r="O81" s="3"/>
      <c r="P81" s="3"/>
    </row>
    <row r="82" spans="1:16" x14ac:dyDescent="0.2">
      <c r="A82" s="3"/>
      <c r="E82" s="3"/>
      <c r="F82" s="3"/>
      <c r="G82" s="3"/>
      <c r="H82" s="3"/>
      <c r="I82" s="3"/>
      <c r="J82" s="3"/>
      <c r="K82" s="3"/>
      <c r="L82" s="3"/>
      <c r="M82" s="3"/>
      <c r="N82" s="3"/>
      <c r="O82" s="3"/>
      <c r="P82" s="3"/>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82"/>
  <sheetViews>
    <sheetView workbookViewId="0">
      <selection sqref="A1:F1"/>
    </sheetView>
  </sheetViews>
  <sheetFormatPr defaultColWidth="9.77734375" defaultRowHeight="14.25" x14ac:dyDescent="0.2"/>
  <cols>
    <col min="1" max="1" width="34.5546875" style="1" bestFit="1" customWidth="1"/>
    <col min="2" max="2" width="14.5546875" style="1" bestFit="1" customWidth="1"/>
    <col min="3" max="3" width="10.88671875" style="1" bestFit="1" customWidth="1"/>
    <col min="4" max="4" width="15" style="1" customWidth="1"/>
    <col min="5" max="5" width="14.88671875" style="1" bestFit="1" customWidth="1"/>
    <col min="6" max="6" width="14.21875" style="1" bestFit="1" customWidth="1"/>
    <col min="7" max="16384" width="9.77734375" style="1"/>
  </cols>
  <sheetData>
    <row r="1" spans="1:18" ht="15.75" thickBot="1" x14ac:dyDescent="0.3">
      <c r="A1" s="108" t="s">
        <v>78</v>
      </c>
      <c r="B1" s="109"/>
      <c r="C1" s="109"/>
      <c r="D1" s="109"/>
      <c r="E1" s="109"/>
      <c r="F1" s="109"/>
      <c r="G1" s="3"/>
      <c r="H1" s="3"/>
      <c r="I1" s="3"/>
      <c r="J1" s="3"/>
      <c r="K1" s="3"/>
      <c r="L1" s="3"/>
      <c r="M1" s="3"/>
      <c r="N1" s="3"/>
      <c r="O1" s="3"/>
      <c r="P1" s="3"/>
      <c r="Q1" s="3"/>
      <c r="R1" s="3"/>
    </row>
    <row r="2" spans="1:18" ht="47.25" customHeight="1" thickBot="1" x14ac:dyDescent="0.3">
      <c r="A2" s="18"/>
      <c r="B2" s="62" t="s">
        <v>76</v>
      </c>
      <c r="C2" s="19" t="s">
        <v>2</v>
      </c>
      <c r="D2" s="19" t="s">
        <v>3</v>
      </c>
      <c r="E2" s="19" t="s">
        <v>4</v>
      </c>
      <c r="F2" s="19" t="s">
        <v>1</v>
      </c>
      <c r="G2" s="3"/>
      <c r="H2" s="3"/>
      <c r="I2" s="3"/>
      <c r="J2" s="3"/>
      <c r="K2" s="3"/>
      <c r="L2" s="3"/>
      <c r="M2" s="3"/>
      <c r="N2" s="3"/>
      <c r="O2" s="3"/>
      <c r="P2" s="3"/>
      <c r="Q2" s="3"/>
      <c r="R2" s="3"/>
    </row>
    <row r="3" spans="1:18" x14ac:dyDescent="0.2">
      <c r="A3" s="1" t="s">
        <v>5</v>
      </c>
      <c r="B3" s="52">
        <v>18000</v>
      </c>
      <c r="C3" s="16">
        <v>18000</v>
      </c>
      <c r="D3" s="16">
        <v>66</v>
      </c>
      <c r="E3" s="63">
        <v>1188</v>
      </c>
      <c r="F3" s="64">
        <f t="shared" ref="F3:F56" si="0">E3/36.744</f>
        <v>32.331809274983669</v>
      </c>
      <c r="G3" s="16"/>
      <c r="H3" s="3"/>
      <c r="I3" s="3"/>
      <c r="J3" s="3"/>
      <c r="K3" s="3"/>
      <c r="L3" s="3"/>
      <c r="M3" s="3"/>
      <c r="N3" s="3"/>
      <c r="O3" s="3"/>
      <c r="P3" s="3"/>
      <c r="Q3" s="3"/>
      <c r="R3" s="3"/>
    </row>
    <row r="4" spans="1:18" x14ac:dyDescent="0.2">
      <c r="A4" s="1" t="s">
        <v>6</v>
      </c>
      <c r="B4" s="52">
        <v>85000</v>
      </c>
      <c r="C4" s="16">
        <v>85000</v>
      </c>
      <c r="D4" s="16">
        <v>82</v>
      </c>
      <c r="E4" s="63">
        <v>6970</v>
      </c>
      <c r="F4" s="64">
        <f t="shared" si="0"/>
        <v>189.69083387763988</v>
      </c>
      <c r="G4" s="16"/>
      <c r="H4" s="3"/>
      <c r="I4" s="3"/>
      <c r="J4" s="3"/>
      <c r="K4" s="3"/>
      <c r="L4" s="3"/>
      <c r="M4" s="3"/>
      <c r="N4" s="3"/>
      <c r="O4" s="3"/>
      <c r="P4" s="3"/>
      <c r="Q4" s="3"/>
      <c r="R4" s="3"/>
    </row>
    <row r="5" spans="1:18" x14ac:dyDescent="0.2">
      <c r="A5" s="1" t="s">
        <v>7</v>
      </c>
      <c r="B5" s="52">
        <v>35000</v>
      </c>
      <c r="C5" s="16">
        <v>35000</v>
      </c>
      <c r="D5" s="16">
        <v>82</v>
      </c>
      <c r="E5" s="63">
        <v>2870</v>
      </c>
      <c r="F5" s="64">
        <f t="shared" si="0"/>
        <v>78.107990420204658</v>
      </c>
      <c r="H5" s="3"/>
      <c r="I5" s="3"/>
      <c r="J5" s="3"/>
      <c r="K5" s="3"/>
      <c r="L5" s="3"/>
      <c r="M5" s="3"/>
      <c r="N5" s="3"/>
      <c r="O5" s="3"/>
      <c r="P5" s="3"/>
      <c r="Q5" s="3"/>
      <c r="R5" s="3"/>
    </row>
    <row r="6" spans="1:18" x14ac:dyDescent="0.2">
      <c r="A6" s="1" t="s">
        <v>8</v>
      </c>
      <c r="B6" s="52">
        <v>65000</v>
      </c>
      <c r="C6" s="16">
        <v>65000</v>
      </c>
      <c r="D6" s="16">
        <v>81</v>
      </c>
      <c r="E6" s="63">
        <v>5265</v>
      </c>
      <c r="F6" s="64">
        <f t="shared" si="0"/>
        <v>143.28870019595036</v>
      </c>
      <c r="H6" s="3"/>
      <c r="I6" s="3"/>
      <c r="J6" s="3"/>
      <c r="K6" s="3"/>
      <c r="L6" s="3"/>
      <c r="M6" s="3"/>
      <c r="N6" s="3"/>
      <c r="O6" s="3"/>
      <c r="P6" s="3"/>
      <c r="Q6" s="3"/>
      <c r="R6" s="3"/>
    </row>
    <row r="7" spans="1:18" x14ac:dyDescent="0.2">
      <c r="A7" s="1" t="s">
        <v>9</v>
      </c>
      <c r="B7" s="52">
        <v>34000</v>
      </c>
      <c r="C7" s="16">
        <v>34000</v>
      </c>
      <c r="D7" s="16">
        <v>61</v>
      </c>
      <c r="E7" s="63">
        <v>2074</v>
      </c>
      <c r="F7" s="64">
        <f t="shared" si="0"/>
        <v>56.444589592858698</v>
      </c>
      <c r="H7" s="3"/>
      <c r="I7" s="3"/>
      <c r="J7" s="3"/>
      <c r="K7" s="3"/>
      <c r="L7" s="3"/>
      <c r="M7" s="3"/>
      <c r="N7" s="3"/>
      <c r="O7" s="3"/>
      <c r="P7" s="3"/>
      <c r="Q7" s="3"/>
      <c r="R7" s="3"/>
    </row>
    <row r="8" spans="1:18" x14ac:dyDescent="0.2">
      <c r="A8" s="1" t="s">
        <v>10</v>
      </c>
      <c r="B8" s="52">
        <v>8000</v>
      </c>
      <c r="C8" s="16">
        <v>8000</v>
      </c>
      <c r="D8" s="16">
        <v>63</v>
      </c>
      <c r="E8" s="63">
        <v>504</v>
      </c>
      <c r="F8" s="64">
        <f t="shared" si="0"/>
        <v>13.71652514696277</v>
      </c>
      <c r="H8" s="3"/>
      <c r="I8" s="3"/>
      <c r="J8" s="3"/>
      <c r="K8" s="3"/>
      <c r="L8" s="3"/>
      <c r="M8" s="3"/>
      <c r="N8" s="3"/>
      <c r="O8" s="3"/>
      <c r="P8" s="3"/>
      <c r="Q8" s="3"/>
      <c r="R8" s="3"/>
    </row>
    <row r="9" spans="1:18" x14ac:dyDescent="0.2">
      <c r="A9" s="1" t="s">
        <v>11</v>
      </c>
      <c r="B9" s="52">
        <v>95000</v>
      </c>
      <c r="C9" s="16">
        <v>95000</v>
      </c>
      <c r="D9" s="16">
        <v>73</v>
      </c>
      <c r="E9" s="63">
        <v>6935</v>
      </c>
      <c r="F9" s="64">
        <f t="shared" si="0"/>
        <v>188.7382974091008</v>
      </c>
      <c r="H9" s="3"/>
      <c r="I9" s="3"/>
      <c r="J9" s="3"/>
      <c r="K9" s="3"/>
      <c r="L9" s="3"/>
      <c r="M9" s="3"/>
      <c r="N9" s="3"/>
      <c r="O9" s="3"/>
      <c r="P9" s="3"/>
      <c r="Q9" s="3"/>
      <c r="R9" s="3"/>
    </row>
    <row r="10" spans="1:18" x14ac:dyDescent="0.2">
      <c r="A10" s="1" t="s">
        <v>12</v>
      </c>
      <c r="B10" s="52">
        <v>85000</v>
      </c>
      <c r="C10" s="16">
        <v>85000</v>
      </c>
      <c r="D10" s="16">
        <v>75</v>
      </c>
      <c r="E10" s="63">
        <v>6375</v>
      </c>
      <c r="F10" s="64">
        <f t="shared" si="0"/>
        <v>173.49771391247552</v>
      </c>
      <c r="H10" s="3"/>
      <c r="I10" s="3"/>
      <c r="J10" s="3"/>
      <c r="K10" s="3"/>
      <c r="L10" s="3"/>
      <c r="M10" s="3"/>
      <c r="N10" s="3"/>
      <c r="O10" s="3"/>
      <c r="P10" s="3"/>
      <c r="Q10" s="3"/>
      <c r="R10" s="3"/>
    </row>
    <row r="11" spans="1:18" x14ac:dyDescent="0.2">
      <c r="A11" s="1" t="s">
        <v>13</v>
      </c>
      <c r="B11" s="52">
        <v>17000</v>
      </c>
      <c r="C11" s="16">
        <v>17000</v>
      </c>
      <c r="D11" s="16">
        <v>57</v>
      </c>
      <c r="E11" s="63">
        <v>969</v>
      </c>
      <c r="F11" s="64">
        <f t="shared" si="0"/>
        <v>26.371652514696276</v>
      </c>
      <c r="H11" s="3"/>
      <c r="I11" s="3"/>
      <c r="J11" s="3"/>
      <c r="K11" s="3"/>
      <c r="L11" s="3"/>
      <c r="M11" s="3"/>
      <c r="N11" s="3"/>
      <c r="O11" s="3"/>
      <c r="P11" s="3"/>
      <c r="Q11" s="3"/>
      <c r="R11" s="3"/>
    </row>
    <row r="12" spans="1:18" x14ac:dyDescent="0.2">
      <c r="A12" s="1" t="s">
        <v>14</v>
      </c>
      <c r="B12" s="52">
        <v>50000</v>
      </c>
      <c r="C12" s="16">
        <v>50000</v>
      </c>
      <c r="D12" s="16">
        <v>81</v>
      </c>
      <c r="E12" s="63">
        <v>4050</v>
      </c>
      <c r="F12" s="64">
        <f t="shared" si="0"/>
        <v>110.22207707380797</v>
      </c>
      <c r="H12" s="3"/>
      <c r="I12" s="3"/>
      <c r="J12" s="3"/>
      <c r="K12" s="3"/>
      <c r="L12" s="3"/>
      <c r="M12" s="3"/>
      <c r="N12" s="3"/>
      <c r="O12" s="3"/>
      <c r="P12" s="3"/>
      <c r="Q12" s="3"/>
      <c r="R12" s="3"/>
    </row>
    <row r="13" spans="1:18" s="17" customFormat="1" ht="15" x14ac:dyDescent="0.25">
      <c r="A13" s="23" t="s">
        <v>15</v>
      </c>
      <c r="B13" s="54">
        <v>492000</v>
      </c>
      <c r="C13" s="65">
        <v>492000</v>
      </c>
      <c r="D13" s="66">
        <v>75.609756097560975</v>
      </c>
      <c r="E13" s="67">
        <v>37200</v>
      </c>
      <c r="F13" s="68">
        <f t="shared" si="0"/>
        <v>1012.4101894186806</v>
      </c>
      <c r="G13" s="23"/>
      <c r="H13" s="9"/>
      <c r="I13" s="9"/>
      <c r="J13" s="9"/>
      <c r="K13" s="9"/>
      <c r="L13" s="9"/>
      <c r="M13" s="9"/>
      <c r="N13" s="9"/>
      <c r="O13" s="9"/>
      <c r="P13" s="9"/>
      <c r="Q13" s="9"/>
      <c r="R13" s="9"/>
    </row>
    <row r="14" spans="1:18" x14ac:dyDescent="0.2">
      <c r="A14" s="1" t="s">
        <v>16</v>
      </c>
      <c r="B14" s="52">
        <v>48000</v>
      </c>
      <c r="C14" s="16">
        <v>48000</v>
      </c>
      <c r="D14" s="16">
        <v>75</v>
      </c>
      <c r="E14" s="63">
        <v>3600</v>
      </c>
      <c r="F14" s="64">
        <f t="shared" si="0"/>
        <v>97.975179621162638</v>
      </c>
      <c r="H14" s="3"/>
      <c r="I14" s="3"/>
      <c r="J14" s="3"/>
      <c r="K14" s="3"/>
      <c r="L14" s="3"/>
      <c r="M14" s="3"/>
      <c r="N14" s="3"/>
      <c r="O14" s="3"/>
      <c r="P14" s="3"/>
      <c r="Q14" s="3"/>
      <c r="R14" s="3"/>
    </row>
    <row r="15" spans="1:18" x14ac:dyDescent="0.2">
      <c r="A15" s="1" t="s">
        <v>17</v>
      </c>
      <c r="B15" s="52">
        <v>8000</v>
      </c>
      <c r="C15" s="16">
        <v>8000</v>
      </c>
      <c r="D15" s="16">
        <v>66</v>
      </c>
      <c r="E15" s="63">
        <v>528</v>
      </c>
      <c r="F15" s="64">
        <f t="shared" si="0"/>
        <v>14.369693011103854</v>
      </c>
      <c r="H15" s="3"/>
      <c r="I15" s="3"/>
      <c r="J15" s="3"/>
      <c r="K15" s="3"/>
      <c r="L15" s="3"/>
      <c r="M15" s="3"/>
      <c r="N15" s="3"/>
      <c r="O15" s="3"/>
      <c r="P15" s="3"/>
      <c r="Q15" s="3"/>
      <c r="R15" s="3"/>
    </row>
    <row r="16" spans="1:18" x14ac:dyDescent="0.2">
      <c r="A16" s="1" t="s">
        <v>18</v>
      </c>
      <c r="B16" s="52">
        <v>9000</v>
      </c>
      <c r="C16" s="16">
        <v>9000</v>
      </c>
      <c r="D16" s="16">
        <v>63</v>
      </c>
      <c r="E16" s="63">
        <v>567</v>
      </c>
      <c r="F16" s="64">
        <f t="shared" si="0"/>
        <v>15.431090790333116</v>
      </c>
      <c r="H16" s="3"/>
      <c r="I16" s="3"/>
      <c r="J16" s="3"/>
      <c r="K16" s="3"/>
      <c r="L16" s="3"/>
      <c r="M16" s="3"/>
      <c r="N16" s="3"/>
      <c r="O16" s="3"/>
      <c r="P16" s="3"/>
      <c r="Q16" s="3"/>
      <c r="R16" s="3"/>
    </row>
    <row r="17" spans="1:18" x14ac:dyDescent="0.2">
      <c r="A17" s="1" t="s">
        <v>19</v>
      </c>
      <c r="B17" s="52">
        <v>6000</v>
      </c>
      <c r="C17" s="16">
        <v>6000</v>
      </c>
      <c r="D17" s="16">
        <v>62</v>
      </c>
      <c r="E17" s="63">
        <v>372</v>
      </c>
      <c r="F17" s="64">
        <f t="shared" si="0"/>
        <v>10.124101894186806</v>
      </c>
      <c r="H17" s="3"/>
      <c r="I17" s="3"/>
      <c r="J17" s="3"/>
      <c r="K17" s="3"/>
      <c r="L17" s="3"/>
      <c r="M17" s="3"/>
      <c r="N17" s="3"/>
      <c r="O17" s="3"/>
      <c r="P17" s="3"/>
      <c r="Q17" s="3"/>
      <c r="R17" s="3"/>
    </row>
    <row r="18" spans="1:18" x14ac:dyDescent="0.2">
      <c r="A18" s="1" t="s">
        <v>20</v>
      </c>
      <c r="B18" s="52">
        <v>80000</v>
      </c>
      <c r="C18" s="16">
        <v>80000</v>
      </c>
      <c r="D18" s="16">
        <v>77</v>
      </c>
      <c r="E18" s="63">
        <v>6160</v>
      </c>
      <c r="F18" s="64">
        <f t="shared" si="0"/>
        <v>167.6464184628783</v>
      </c>
      <c r="H18" s="3"/>
      <c r="I18" s="3"/>
      <c r="J18" s="3"/>
      <c r="K18" s="3"/>
      <c r="L18" s="3"/>
      <c r="M18" s="3"/>
      <c r="N18" s="3"/>
      <c r="O18" s="3"/>
      <c r="P18" s="3"/>
      <c r="Q18" s="3"/>
      <c r="R18" s="3"/>
    </row>
    <row r="19" spans="1:18" x14ac:dyDescent="0.2">
      <c r="A19" s="1" t="s">
        <v>21</v>
      </c>
      <c r="B19" s="52">
        <v>5000</v>
      </c>
      <c r="C19" s="16">
        <v>5000</v>
      </c>
      <c r="D19" s="16">
        <v>61</v>
      </c>
      <c r="E19" s="63">
        <v>305</v>
      </c>
      <c r="F19" s="64">
        <f t="shared" si="0"/>
        <v>8.3006749401262798</v>
      </c>
      <c r="H19" s="3"/>
      <c r="I19" s="3"/>
      <c r="J19" s="3"/>
      <c r="K19" s="3"/>
      <c r="L19" s="3"/>
      <c r="M19" s="3"/>
      <c r="N19" s="3"/>
      <c r="O19" s="3"/>
      <c r="P19" s="3"/>
      <c r="Q19" s="3"/>
      <c r="R19" s="3"/>
    </row>
    <row r="20" spans="1:18" x14ac:dyDescent="0.2">
      <c r="A20" s="1" t="s">
        <v>22</v>
      </c>
      <c r="B20" s="52">
        <v>60000</v>
      </c>
      <c r="C20" s="16">
        <v>60000</v>
      </c>
      <c r="D20" s="16">
        <v>83</v>
      </c>
      <c r="E20" s="63">
        <v>4980</v>
      </c>
      <c r="F20" s="64">
        <f t="shared" si="0"/>
        <v>135.53233180927498</v>
      </c>
      <c r="H20" s="3"/>
      <c r="I20" s="3"/>
      <c r="J20" s="3"/>
      <c r="K20" s="3"/>
      <c r="L20" s="3"/>
      <c r="M20" s="3"/>
      <c r="N20" s="3"/>
      <c r="O20" s="3"/>
      <c r="P20" s="3"/>
      <c r="Q20" s="3"/>
      <c r="R20" s="3"/>
    </row>
    <row r="21" spans="1:18" x14ac:dyDescent="0.2">
      <c r="A21" s="1" t="s">
        <v>23</v>
      </c>
      <c r="B21" s="52">
        <v>43000</v>
      </c>
      <c r="C21" s="16">
        <v>43000</v>
      </c>
      <c r="D21" s="16">
        <v>67</v>
      </c>
      <c r="E21" s="63">
        <v>2881</v>
      </c>
      <c r="F21" s="64">
        <f t="shared" si="0"/>
        <v>78.407359024602655</v>
      </c>
      <c r="H21" s="3"/>
      <c r="I21" s="3"/>
      <c r="J21" s="3"/>
      <c r="K21" s="3"/>
      <c r="L21" s="3"/>
      <c r="M21" s="3"/>
      <c r="N21" s="3"/>
      <c r="O21" s="3"/>
      <c r="P21" s="3"/>
      <c r="Q21" s="3"/>
      <c r="R21" s="3"/>
    </row>
    <row r="22" spans="1:18" x14ac:dyDescent="0.2">
      <c r="A22" s="1" t="s">
        <v>24</v>
      </c>
      <c r="B22" s="52">
        <v>18000</v>
      </c>
      <c r="C22" s="16">
        <v>18000</v>
      </c>
      <c r="D22" s="16">
        <v>74</v>
      </c>
      <c r="E22" s="63">
        <v>1332</v>
      </c>
      <c r="F22" s="64">
        <f t="shared" si="0"/>
        <v>36.250816459830176</v>
      </c>
      <c r="H22" s="3"/>
      <c r="I22" s="3"/>
      <c r="J22" s="3"/>
      <c r="K22" s="3"/>
      <c r="L22" s="3"/>
      <c r="M22" s="3"/>
      <c r="N22" s="3"/>
      <c r="O22" s="3"/>
      <c r="P22" s="3"/>
      <c r="Q22" s="3"/>
      <c r="R22" s="3"/>
    </row>
    <row r="23" spans="1:18" x14ac:dyDescent="0.2">
      <c r="A23" s="1" t="s">
        <v>25</v>
      </c>
      <c r="B23" s="52">
        <v>55000</v>
      </c>
      <c r="C23" s="16">
        <v>55000</v>
      </c>
      <c r="D23" s="16">
        <v>75</v>
      </c>
      <c r="E23" s="63">
        <v>4125</v>
      </c>
      <c r="F23" s="64">
        <f t="shared" si="0"/>
        <v>112.26322664924886</v>
      </c>
      <c r="H23" s="3"/>
      <c r="I23" s="3"/>
      <c r="J23" s="3"/>
      <c r="K23" s="3"/>
      <c r="L23" s="3"/>
      <c r="M23" s="3"/>
      <c r="N23" s="3"/>
      <c r="O23" s="3"/>
      <c r="P23" s="3"/>
      <c r="Q23" s="3"/>
      <c r="R23" s="3"/>
    </row>
    <row r="24" spans="1:18" s="17" customFormat="1" ht="15" x14ac:dyDescent="0.25">
      <c r="A24" s="23" t="s">
        <v>26</v>
      </c>
      <c r="B24" s="54">
        <v>332000</v>
      </c>
      <c r="C24" s="65">
        <v>332000</v>
      </c>
      <c r="D24" s="66">
        <v>74.849397590361448</v>
      </c>
      <c r="E24" s="67">
        <v>24850</v>
      </c>
      <c r="F24" s="68">
        <f t="shared" si="0"/>
        <v>676.30089266274763</v>
      </c>
      <c r="G24" s="23"/>
      <c r="H24" s="9"/>
      <c r="I24" s="9"/>
      <c r="J24" s="9"/>
      <c r="K24" s="9"/>
      <c r="L24" s="9"/>
      <c r="M24" s="9"/>
      <c r="N24" s="9"/>
      <c r="O24" s="9"/>
      <c r="P24" s="9"/>
      <c r="Q24" s="9"/>
      <c r="R24" s="9"/>
    </row>
    <row r="25" spans="1:18" x14ac:dyDescent="0.2">
      <c r="A25" s="1" t="s">
        <v>27</v>
      </c>
      <c r="B25" s="52">
        <v>23000</v>
      </c>
      <c r="C25" s="16">
        <v>23000</v>
      </c>
      <c r="D25" s="16">
        <v>53</v>
      </c>
      <c r="E25" s="63">
        <v>1219</v>
      </c>
      <c r="F25" s="64">
        <f t="shared" si="0"/>
        <v>33.175484432832569</v>
      </c>
      <c r="H25" s="3"/>
      <c r="I25" s="3"/>
      <c r="J25" s="3"/>
      <c r="K25" s="3"/>
      <c r="L25" s="3"/>
      <c r="M25" s="3"/>
      <c r="N25" s="3"/>
      <c r="O25" s="3"/>
      <c r="P25" s="3"/>
      <c r="Q25" s="3"/>
      <c r="R25" s="3"/>
    </row>
    <row r="26" spans="1:18" x14ac:dyDescent="0.2">
      <c r="A26" s="1" t="s">
        <v>28</v>
      </c>
      <c r="B26" s="69" t="s">
        <v>64</v>
      </c>
      <c r="C26" s="69" t="s">
        <v>64</v>
      </c>
      <c r="D26" s="69" t="s">
        <v>64</v>
      </c>
      <c r="E26" s="69" t="s">
        <v>64</v>
      </c>
      <c r="F26" s="69" t="s">
        <v>64</v>
      </c>
      <c r="H26" s="3"/>
      <c r="I26" s="3"/>
      <c r="J26" s="3"/>
      <c r="K26" s="3"/>
      <c r="L26" s="3"/>
      <c r="M26" s="3"/>
      <c r="N26" s="3"/>
      <c r="O26" s="3"/>
      <c r="P26" s="3"/>
      <c r="Q26" s="3"/>
      <c r="R26" s="3"/>
    </row>
    <row r="27" spans="1:18" x14ac:dyDescent="0.2">
      <c r="A27" s="1" t="s">
        <v>29</v>
      </c>
      <c r="B27" s="52">
        <v>5000</v>
      </c>
      <c r="C27" s="16">
        <v>5000</v>
      </c>
      <c r="D27" s="16">
        <v>68</v>
      </c>
      <c r="E27" s="63">
        <v>340</v>
      </c>
      <c r="F27" s="64">
        <f t="shared" si="0"/>
        <v>9.2532114086653596</v>
      </c>
      <c r="H27" s="3"/>
      <c r="I27" s="3"/>
      <c r="J27" s="3"/>
      <c r="K27" s="3"/>
      <c r="L27" s="3"/>
      <c r="M27" s="3"/>
      <c r="N27" s="3"/>
      <c r="O27" s="3"/>
      <c r="P27" s="3"/>
      <c r="Q27" s="3"/>
      <c r="R27" s="3"/>
    </row>
    <row r="28" spans="1:18" x14ac:dyDescent="0.2">
      <c r="A28" s="1" t="s">
        <v>30</v>
      </c>
      <c r="B28" s="52">
        <v>15000</v>
      </c>
      <c r="C28" s="16">
        <v>15000</v>
      </c>
      <c r="D28" s="16">
        <v>51</v>
      </c>
      <c r="E28" s="63">
        <v>765</v>
      </c>
      <c r="F28" s="64">
        <f t="shared" si="0"/>
        <v>20.81972566949706</v>
      </c>
      <c r="H28" s="3"/>
      <c r="I28" s="3"/>
      <c r="J28" s="3"/>
      <c r="K28" s="3"/>
      <c r="L28" s="3"/>
      <c r="M28" s="3"/>
      <c r="N28" s="3"/>
      <c r="O28" s="3"/>
      <c r="P28" s="3"/>
      <c r="Q28" s="3"/>
      <c r="R28" s="3"/>
    </row>
    <row r="29" spans="1:18" x14ac:dyDescent="0.2">
      <c r="A29" s="1" t="s">
        <v>31</v>
      </c>
      <c r="B29" s="69" t="s">
        <v>64</v>
      </c>
      <c r="C29" s="69" t="s">
        <v>64</v>
      </c>
      <c r="D29" s="69" t="s">
        <v>64</v>
      </c>
      <c r="E29" s="69" t="s">
        <v>64</v>
      </c>
      <c r="F29" s="69" t="s">
        <v>64</v>
      </c>
      <c r="H29" s="3"/>
      <c r="I29" s="3"/>
      <c r="J29" s="3"/>
      <c r="K29" s="3"/>
      <c r="L29" s="3"/>
      <c r="M29" s="3"/>
      <c r="N29" s="3"/>
      <c r="O29" s="3"/>
      <c r="P29" s="3"/>
      <c r="Q29" s="3"/>
      <c r="R29" s="3"/>
    </row>
    <row r="30" spans="1:18" x14ac:dyDescent="0.2">
      <c r="A30" s="1" t="s">
        <v>32</v>
      </c>
      <c r="B30" s="52">
        <v>15000</v>
      </c>
      <c r="C30" s="16">
        <v>15000</v>
      </c>
      <c r="D30" s="16">
        <v>57</v>
      </c>
      <c r="E30" s="63">
        <v>855</v>
      </c>
      <c r="F30" s="64">
        <f t="shared" si="0"/>
        <v>23.269105160026125</v>
      </c>
      <c r="H30" s="3"/>
      <c r="I30" s="3"/>
      <c r="J30" s="3"/>
      <c r="K30" s="3"/>
      <c r="L30" s="3"/>
      <c r="M30" s="3"/>
      <c r="N30" s="3"/>
      <c r="O30" s="3"/>
      <c r="P30" s="3"/>
      <c r="Q30" s="3"/>
      <c r="R30" s="3"/>
    </row>
    <row r="31" spans="1:18" x14ac:dyDescent="0.2">
      <c r="A31" s="1" t="s">
        <v>33</v>
      </c>
      <c r="B31" s="69" t="s">
        <v>64</v>
      </c>
      <c r="C31" s="69" t="s">
        <v>64</v>
      </c>
      <c r="D31" s="69" t="s">
        <v>64</v>
      </c>
      <c r="E31" s="69" t="s">
        <v>64</v>
      </c>
      <c r="F31" s="69" t="s">
        <v>64</v>
      </c>
      <c r="H31" s="3"/>
      <c r="I31" s="3"/>
      <c r="J31" s="3"/>
      <c r="K31" s="3"/>
      <c r="L31" s="3"/>
      <c r="M31" s="3"/>
      <c r="N31" s="3"/>
      <c r="O31" s="3"/>
      <c r="P31" s="3"/>
      <c r="Q31" s="3"/>
      <c r="R31" s="3"/>
    </row>
    <row r="32" spans="1:18" x14ac:dyDescent="0.2">
      <c r="A32" s="1" t="s">
        <v>34</v>
      </c>
      <c r="B32" s="52">
        <v>8000</v>
      </c>
      <c r="C32" s="16">
        <v>8000</v>
      </c>
      <c r="D32" s="16">
        <v>50</v>
      </c>
      <c r="E32" s="63">
        <v>400</v>
      </c>
      <c r="F32" s="64">
        <f t="shared" si="0"/>
        <v>10.886131069018072</v>
      </c>
      <c r="H32" s="3"/>
      <c r="I32" s="3"/>
      <c r="J32" s="3"/>
      <c r="K32" s="3"/>
      <c r="L32" s="3"/>
      <c r="M32" s="3"/>
      <c r="N32" s="3"/>
      <c r="O32" s="3"/>
      <c r="P32" s="3"/>
      <c r="Q32" s="3"/>
      <c r="R32" s="3"/>
    </row>
    <row r="33" spans="1:18" x14ac:dyDescent="0.2">
      <c r="A33" s="1" t="s">
        <v>35</v>
      </c>
      <c r="B33" s="52">
        <v>9000</v>
      </c>
      <c r="C33" s="16">
        <v>9000</v>
      </c>
      <c r="D33" s="16">
        <v>66</v>
      </c>
      <c r="E33" s="63">
        <v>594</v>
      </c>
      <c r="F33" s="64">
        <f t="shared" si="0"/>
        <v>16.165904637491835</v>
      </c>
      <c r="H33" s="3"/>
      <c r="I33" s="3"/>
      <c r="J33" s="3"/>
      <c r="K33" s="3"/>
      <c r="L33" s="3"/>
      <c r="M33" s="3"/>
      <c r="N33" s="3"/>
      <c r="O33" s="3"/>
      <c r="P33" s="3"/>
      <c r="Q33" s="3"/>
      <c r="R33" s="3"/>
    </row>
    <row r="34" spans="1:18" x14ac:dyDescent="0.2">
      <c r="A34" s="1" t="s">
        <v>36</v>
      </c>
      <c r="B34" s="52">
        <v>11000</v>
      </c>
      <c r="C34" s="16">
        <v>11000</v>
      </c>
      <c r="D34" s="16">
        <v>51</v>
      </c>
      <c r="E34" s="63">
        <v>561</v>
      </c>
      <c r="F34" s="64">
        <f t="shared" si="0"/>
        <v>15.267798824297845</v>
      </c>
      <c r="H34" s="3"/>
      <c r="I34" s="3"/>
      <c r="J34" s="3"/>
      <c r="K34" s="3"/>
      <c r="L34" s="3"/>
      <c r="M34" s="3"/>
      <c r="N34" s="3"/>
      <c r="O34" s="3"/>
      <c r="P34" s="3"/>
      <c r="Q34" s="3"/>
      <c r="R34" s="3"/>
    </row>
    <row r="35" spans="1:18" s="17" customFormat="1" ht="15" x14ac:dyDescent="0.25">
      <c r="A35" s="23" t="s">
        <v>37</v>
      </c>
      <c r="B35" s="54">
        <v>86000</v>
      </c>
      <c r="C35" s="65">
        <v>86000</v>
      </c>
      <c r="D35" s="66">
        <v>55.046511627906973</v>
      </c>
      <c r="E35" s="67">
        <v>4734</v>
      </c>
      <c r="F35" s="68">
        <f t="shared" si="0"/>
        <v>128.83736120182888</v>
      </c>
      <c r="G35" s="23"/>
      <c r="H35" s="9"/>
      <c r="I35" s="9"/>
      <c r="J35" s="9"/>
      <c r="K35" s="9"/>
      <c r="L35" s="9"/>
      <c r="M35" s="9"/>
      <c r="N35" s="9"/>
      <c r="O35" s="9"/>
      <c r="P35" s="9"/>
      <c r="Q35" s="9"/>
      <c r="R35" s="9"/>
    </row>
    <row r="36" spans="1:18" x14ac:dyDescent="0.2">
      <c r="A36" s="1" t="s">
        <v>38</v>
      </c>
      <c r="B36" s="52">
        <v>1200</v>
      </c>
      <c r="C36" s="16">
        <v>1200</v>
      </c>
      <c r="D36" s="16">
        <v>63</v>
      </c>
      <c r="E36" s="69">
        <v>76</v>
      </c>
      <c r="F36" s="69" t="s">
        <v>64</v>
      </c>
      <c r="H36" s="3"/>
      <c r="I36" s="3"/>
      <c r="J36" s="3"/>
      <c r="K36" s="3"/>
      <c r="L36" s="3"/>
      <c r="M36" s="3"/>
      <c r="N36" s="3"/>
      <c r="O36" s="3"/>
      <c r="P36" s="3"/>
      <c r="Q36" s="3"/>
      <c r="R36" s="3"/>
    </row>
    <row r="37" spans="1:18" x14ac:dyDescent="0.2">
      <c r="A37" s="1" t="s">
        <v>39</v>
      </c>
      <c r="B37" s="52">
        <v>200</v>
      </c>
      <c r="C37" s="16">
        <v>200</v>
      </c>
      <c r="D37" s="16">
        <v>57</v>
      </c>
      <c r="E37" s="69">
        <v>11</v>
      </c>
      <c r="F37" s="69" t="s">
        <v>64</v>
      </c>
      <c r="H37" s="3"/>
      <c r="I37" s="3"/>
      <c r="J37" s="3"/>
      <c r="K37" s="3"/>
      <c r="L37" s="3"/>
      <c r="M37" s="3"/>
      <c r="N37" s="3"/>
      <c r="O37" s="3"/>
      <c r="P37" s="3"/>
      <c r="Q37" s="3"/>
      <c r="R37" s="3"/>
    </row>
    <row r="38" spans="1:18" x14ac:dyDescent="0.2">
      <c r="A38" s="1" t="s">
        <v>40</v>
      </c>
      <c r="B38" s="52">
        <v>1100</v>
      </c>
      <c r="C38" s="16">
        <v>1100</v>
      </c>
      <c r="D38" s="16">
        <v>57</v>
      </c>
      <c r="E38" s="69">
        <v>63</v>
      </c>
      <c r="F38" s="69" t="s">
        <v>64</v>
      </c>
      <c r="H38" s="3"/>
      <c r="I38" s="3"/>
      <c r="J38" s="3"/>
      <c r="K38" s="3"/>
      <c r="L38" s="3"/>
      <c r="M38" s="3"/>
      <c r="N38" s="3"/>
      <c r="O38" s="3"/>
      <c r="P38" s="3"/>
      <c r="Q38" s="3"/>
      <c r="R38" s="3"/>
    </row>
    <row r="39" spans="1:18" x14ac:dyDescent="0.2">
      <c r="A39" s="1" t="s">
        <v>41</v>
      </c>
      <c r="B39" s="52">
        <v>8000</v>
      </c>
      <c r="C39" s="16">
        <v>8000</v>
      </c>
      <c r="D39" s="16">
        <v>68</v>
      </c>
      <c r="E39" s="63">
        <v>544</v>
      </c>
      <c r="F39" s="64">
        <f t="shared" si="0"/>
        <v>14.805138253864577</v>
      </c>
      <c r="H39" s="3"/>
      <c r="I39" s="3"/>
      <c r="J39" s="3"/>
      <c r="K39" s="3"/>
      <c r="L39" s="3"/>
      <c r="M39" s="3"/>
      <c r="N39" s="3"/>
      <c r="O39" s="3"/>
      <c r="P39" s="3"/>
      <c r="Q39" s="3"/>
      <c r="R39" s="3"/>
    </row>
    <row r="40" spans="1:18" x14ac:dyDescent="0.2">
      <c r="A40" s="1" t="s">
        <v>42</v>
      </c>
      <c r="B40" s="52">
        <v>400</v>
      </c>
      <c r="C40" s="16">
        <v>400</v>
      </c>
      <c r="D40" s="16">
        <v>70</v>
      </c>
      <c r="E40" s="69">
        <v>28</v>
      </c>
      <c r="F40" s="69" t="s">
        <v>64</v>
      </c>
      <c r="H40" s="3"/>
      <c r="I40" s="3"/>
      <c r="J40" s="3"/>
      <c r="K40" s="3"/>
      <c r="L40" s="3"/>
      <c r="M40" s="3"/>
      <c r="N40" s="3"/>
      <c r="O40" s="3"/>
      <c r="P40" s="3"/>
      <c r="Q40" s="3"/>
      <c r="R40" s="3"/>
    </row>
    <row r="41" spans="1:18" x14ac:dyDescent="0.2">
      <c r="A41" s="1" t="s">
        <v>43</v>
      </c>
      <c r="B41" s="52">
        <v>500</v>
      </c>
      <c r="C41" s="16">
        <v>500</v>
      </c>
      <c r="D41" s="16">
        <v>58</v>
      </c>
      <c r="E41" s="69">
        <v>29</v>
      </c>
      <c r="F41" s="69" t="s">
        <v>64</v>
      </c>
      <c r="H41" s="3"/>
      <c r="I41" s="3"/>
      <c r="J41" s="3"/>
      <c r="K41" s="3"/>
      <c r="L41" s="3"/>
      <c r="M41" s="3"/>
      <c r="N41" s="3"/>
      <c r="O41" s="3"/>
      <c r="P41" s="3"/>
      <c r="Q41" s="3"/>
      <c r="R41" s="3"/>
    </row>
    <row r="42" spans="1:18" x14ac:dyDescent="0.2">
      <c r="A42" s="1" t="s">
        <v>44</v>
      </c>
      <c r="B42" s="52">
        <v>3500</v>
      </c>
      <c r="C42" s="16">
        <v>3500</v>
      </c>
      <c r="D42" s="16">
        <v>71</v>
      </c>
      <c r="E42" s="63">
        <v>249</v>
      </c>
      <c r="F42" s="64">
        <f t="shared" si="0"/>
        <v>6.7766165904637496</v>
      </c>
      <c r="H42" s="3"/>
      <c r="I42" s="3"/>
      <c r="J42" s="3"/>
      <c r="K42" s="3"/>
      <c r="L42" s="3"/>
      <c r="M42" s="3"/>
      <c r="N42" s="3"/>
      <c r="O42" s="3"/>
      <c r="P42" s="3"/>
      <c r="Q42" s="3"/>
      <c r="R42" s="3"/>
    </row>
    <row r="43" spans="1:18" x14ac:dyDescent="0.2">
      <c r="A43" s="1" t="s">
        <v>45</v>
      </c>
      <c r="B43" s="52">
        <v>1100</v>
      </c>
      <c r="C43" s="16">
        <v>1100</v>
      </c>
      <c r="D43" s="16">
        <v>65</v>
      </c>
      <c r="E43" s="63">
        <v>72</v>
      </c>
      <c r="F43" s="64">
        <f t="shared" si="0"/>
        <v>1.9595035924232529</v>
      </c>
      <c r="H43" s="3"/>
      <c r="I43" s="3"/>
      <c r="J43" s="3"/>
      <c r="K43" s="3"/>
      <c r="L43" s="3"/>
      <c r="M43" s="3"/>
      <c r="N43" s="3"/>
      <c r="O43" s="3"/>
      <c r="P43" s="3"/>
      <c r="Q43" s="3"/>
      <c r="R43" s="3"/>
    </row>
    <row r="44" spans="1:18" s="17" customFormat="1" ht="15" x14ac:dyDescent="0.25">
      <c r="A44" s="23" t="s">
        <v>46</v>
      </c>
      <c r="B44" s="54">
        <v>16000</v>
      </c>
      <c r="C44" s="65">
        <v>16000</v>
      </c>
      <c r="D44" s="66">
        <v>67</v>
      </c>
      <c r="E44" s="65">
        <v>1072</v>
      </c>
      <c r="F44" s="68">
        <f t="shared" si="0"/>
        <v>29.174831264968429</v>
      </c>
      <c r="G44" s="23"/>
      <c r="H44" s="9"/>
      <c r="I44" s="9"/>
      <c r="J44" s="9"/>
      <c r="K44" s="9"/>
      <c r="L44" s="9"/>
      <c r="M44" s="9"/>
      <c r="N44" s="9"/>
      <c r="O44" s="9"/>
      <c r="P44" s="9"/>
      <c r="Q44" s="9"/>
      <c r="R44" s="9"/>
    </row>
    <row r="45" spans="1:18" x14ac:dyDescent="0.2">
      <c r="A45" s="1" t="s">
        <v>47</v>
      </c>
      <c r="B45" s="69" t="s">
        <v>64</v>
      </c>
      <c r="C45" s="69" t="s">
        <v>64</v>
      </c>
      <c r="D45" s="69" t="s">
        <v>64</v>
      </c>
      <c r="E45" s="69" t="s">
        <v>64</v>
      </c>
      <c r="F45" s="69" t="s">
        <v>64</v>
      </c>
      <c r="H45" s="3"/>
      <c r="I45" s="3"/>
      <c r="J45" s="3"/>
      <c r="K45" s="3"/>
      <c r="L45" s="3"/>
      <c r="M45" s="3"/>
      <c r="N45" s="3"/>
      <c r="O45" s="3"/>
      <c r="P45" s="3"/>
      <c r="Q45" s="3"/>
      <c r="R45" s="3"/>
    </row>
    <row r="46" spans="1:18" x14ac:dyDescent="0.2">
      <c r="A46" s="1" t="s">
        <v>48</v>
      </c>
      <c r="B46" s="69" t="s">
        <v>64</v>
      </c>
      <c r="C46" s="69" t="s">
        <v>64</v>
      </c>
      <c r="D46" s="69" t="s">
        <v>64</v>
      </c>
      <c r="E46" s="69" t="s">
        <v>64</v>
      </c>
      <c r="F46" s="69" t="s">
        <v>64</v>
      </c>
      <c r="H46" s="3"/>
      <c r="I46" s="3"/>
      <c r="J46" s="3"/>
      <c r="K46" s="3"/>
      <c r="L46" s="3"/>
      <c r="M46" s="3"/>
      <c r="N46" s="3"/>
      <c r="O46" s="3"/>
      <c r="P46" s="3"/>
      <c r="Q46" s="3"/>
      <c r="R46" s="3"/>
    </row>
    <row r="47" spans="1:18" x14ac:dyDescent="0.2">
      <c r="A47" s="24" t="s">
        <v>49</v>
      </c>
      <c r="B47" s="69" t="s">
        <v>64</v>
      </c>
      <c r="C47" s="69" t="s">
        <v>64</v>
      </c>
      <c r="D47" s="69" t="s">
        <v>64</v>
      </c>
      <c r="E47" s="69" t="s">
        <v>64</v>
      </c>
      <c r="F47" s="69" t="s">
        <v>64</v>
      </c>
      <c r="G47" s="24"/>
      <c r="H47" s="3"/>
      <c r="I47" s="3"/>
      <c r="J47" s="3"/>
      <c r="K47" s="3"/>
      <c r="L47" s="3"/>
      <c r="M47" s="3"/>
      <c r="N47" s="3"/>
      <c r="O47" s="3"/>
      <c r="P47" s="3"/>
      <c r="Q47" s="3"/>
      <c r="R47" s="3"/>
    </row>
    <row r="48" spans="1:18" x14ac:dyDescent="0.2">
      <c r="A48" s="1" t="s">
        <v>50</v>
      </c>
      <c r="B48" s="69" t="s">
        <v>64</v>
      </c>
      <c r="C48" s="69" t="s">
        <v>64</v>
      </c>
      <c r="D48" s="69" t="s">
        <v>64</v>
      </c>
      <c r="E48" s="69" t="s">
        <v>64</v>
      </c>
      <c r="F48" s="69" t="s">
        <v>64</v>
      </c>
      <c r="H48" s="3"/>
      <c r="I48" s="3"/>
      <c r="J48" s="3"/>
      <c r="K48" s="3"/>
      <c r="L48" s="3"/>
      <c r="M48" s="3"/>
      <c r="N48" s="3"/>
      <c r="O48" s="3"/>
      <c r="P48" s="3"/>
      <c r="Q48" s="3"/>
      <c r="R48" s="3"/>
    </row>
    <row r="49" spans="1:18" x14ac:dyDescent="0.2">
      <c r="A49" s="1" t="s">
        <v>51</v>
      </c>
      <c r="B49" s="69" t="s">
        <v>64</v>
      </c>
      <c r="C49" s="69" t="s">
        <v>64</v>
      </c>
      <c r="D49" s="69" t="s">
        <v>64</v>
      </c>
      <c r="E49" s="69" t="s">
        <v>64</v>
      </c>
      <c r="F49" s="69" t="s">
        <v>64</v>
      </c>
      <c r="H49" s="3"/>
      <c r="I49" s="3"/>
      <c r="J49" s="3"/>
      <c r="K49" s="3"/>
      <c r="L49" s="3"/>
      <c r="M49" s="3"/>
      <c r="N49" s="3"/>
      <c r="O49" s="3"/>
      <c r="P49" s="3"/>
      <c r="Q49" s="3"/>
      <c r="R49" s="3"/>
    </row>
    <row r="50" spans="1:18" x14ac:dyDescent="0.2">
      <c r="A50" s="1" t="s">
        <v>52</v>
      </c>
      <c r="B50" s="69" t="s">
        <v>64</v>
      </c>
      <c r="C50" s="69" t="s">
        <v>64</v>
      </c>
      <c r="D50" s="69" t="s">
        <v>64</v>
      </c>
      <c r="E50" s="69" t="s">
        <v>64</v>
      </c>
      <c r="F50" s="69" t="s">
        <v>64</v>
      </c>
      <c r="H50" s="3"/>
      <c r="I50" s="3"/>
      <c r="J50" s="3"/>
      <c r="K50" s="3"/>
      <c r="L50" s="3"/>
      <c r="M50" s="3"/>
      <c r="N50" s="3"/>
      <c r="O50" s="3"/>
      <c r="P50" s="3"/>
      <c r="Q50" s="3"/>
      <c r="R50" s="3"/>
    </row>
    <row r="51" spans="1:18" x14ac:dyDescent="0.2">
      <c r="A51" s="1" t="s">
        <v>53</v>
      </c>
      <c r="B51" s="69" t="s">
        <v>64</v>
      </c>
      <c r="C51" s="69" t="s">
        <v>64</v>
      </c>
      <c r="D51" s="69" t="s">
        <v>64</v>
      </c>
      <c r="E51" s="69" t="s">
        <v>64</v>
      </c>
      <c r="F51" s="69" t="s">
        <v>64</v>
      </c>
      <c r="H51" s="3"/>
      <c r="I51" s="3"/>
      <c r="J51" s="3"/>
      <c r="K51" s="3"/>
      <c r="L51" s="3"/>
      <c r="M51" s="3"/>
      <c r="N51" s="3"/>
      <c r="O51" s="3"/>
      <c r="P51" s="3"/>
      <c r="Q51" s="3"/>
      <c r="R51" s="3"/>
    </row>
    <row r="52" spans="1:18" x14ac:dyDescent="0.2">
      <c r="A52" s="1" t="s">
        <v>54</v>
      </c>
      <c r="B52" s="69" t="s">
        <v>64</v>
      </c>
      <c r="C52" s="69" t="s">
        <v>64</v>
      </c>
      <c r="D52" s="69" t="s">
        <v>64</v>
      </c>
      <c r="E52" s="69" t="s">
        <v>64</v>
      </c>
      <c r="F52" s="69" t="s">
        <v>64</v>
      </c>
      <c r="H52" s="3"/>
      <c r="I52" s="3"/>
      <c r="J52" s="3"/>
      <c r="K52" s="3"/>
      <c r="L52" s="3"/>
      <c r="M52" s="3"/>
      <c r="N52" s="3"/>
      <c r="O52" s="3"/>
      <c r="P52" s="3"/>
      <c r="Q52" s="3"/>
      <c r="R52" s="3"/>
    </row>
    <row r="53" spans="1:18" x14ac:dyDescent="0.2">
      <c r="A53" s="1" t="s">
        <v>55</v>
      </c>
      <c r="B53" s="69" t="s">
        <v>64</v>
      </c>
      <c r="C53" s="69" t="s">
        <v>64</v>
      </c>
      <c r="D53" s="69" t="s">
        <v>64</v>
      </c>
      <c r="E53" s="69" t="s">
        <v>64</v>
      </c>
      <c r="F53" s="69" t="s">
        <v>64</v>
      </c>
      <c r="H53" s="3"/>
      <c r="I53" s="3"/>
      <c r="J53" s="3"/>
      <c r="K53" s="3"/>
      <c r="L53" s="3"/>
      <c r="M53" s="3"/>
      <c r="N53" s="3"/>
      <c r="O53" s="3"/>
      <c r="P53" s="3"/>
      <c r="Q53" s="3"/>
      <c r="R53" s="3"/>
    </row>
    <row r="54" spans="1:18" x14ac:dyDescent="0.2">
      <c r="A54" s="1" t="s">
        <v>56</v>
      </c>
      <c r="B54" s="69" t="s">
        <v>64</v>
      </c>
      <c r="C54" s="69" t="s">
        <v>64</v>
      </c>
      <c r="D54" s="69" t="s">
        <v>64</v>
      </c>
      <c r="E54" s="69" t="s">
        <v>64</v>
      </c>
      <c r="F54" s="69" t="s">
        <v>64</v>
      </c>
      <c r="H54" s="3"/>
      <c r="I54" s="3"/>
      <c r="J54" s="3"/>
      <c r="K54" s="3"/>
      <c r="L54" s="3"/>
      <c r="M54" s="3"/>
      <c r="N54" s="3"/>
      <c r="O54" s="3"/>
      <c r="P54" s="3"/>
      <c r="Q54" s="3"/>
      <c r="R54" s="3"/>
    </row>
    <row r="55" spans="1:18" s="17" customFormat="1" ht="15" x14ac:dyDescent="0.25">
      <c r="A55" s="23" t="s">
        <v>57</v>
      </c>
      <c r="B55" s="54">
        <v>4000</v>
      </c>
      <c r="C55" s="65">
        <v>4000</v>
      </c>
      <c r="D55" s="66">
        <v>36</v>
      </c>
      <c r="E55" s="65">
        <v>144</v>
      </c>
      <c r="F55" s="68">
        <f t="shared" si="0"/>
        <v>3.9190071848465058</v>
      </c>
      <c r="G55" s="23"/>
      <c r="H55" s="9"/>
      <c r="I55" s="9"/>
      <c r="J55" s="9"/>
      <c r="K55" s="9"/>
      <c r="L55" s="9"/>
      <c r="M55" s="9"/>
      <c r="N55" s="9"/>
      <c r="O55" s="9"/>
      <c r="P55" s="9"/>
      <c r="Q55" s="9"/>
      <c r="R55" s="9"/>
    </row>
    <row r="56" spans="1:18" s="17" customFormat="1" ht="15" x14ac:dyDescent="0.25">
      <c r="A56" s="17" t="s">
        <v>0</v>
      </c>
      <c r="B56" s="54">
        <v>930000</v>
      </c>
      <c r="C56" s="65">
        <v>930000</v>
      </c>
      <c r="D56" s="66">
        <v>73.118279569892479</v>
      </c>
      <c r="E56" s="65">
        <v>68000</v>
      </c>
      <c r="F56" s="68">
        <f t="shared" si="0"/>
        <v>1850.642281733072</v>
      </c>
      <c r="H56" s="9"/>
      <c r="I56" s="9"/>
      <c r="J56" s="9"/>
      <c r="K56" s="9"/>
      <c r="L56" s="9"/>
      <c r="M56" s="9"/>
      <c r="N56" s="9"/>
      <c r="O56" s="9"/>
      <c r="P56" s="9"/>
      <c r="Q56" s="9"/>
      <c r="R56" s="9"/>
    </row>
    <row r="57" spans="1:18" s="22" customFormat="1" x14ac:dyDescent="0.2">
      <c r="A57" s="20"/>
      <c r="B57" s="20"/>
      <c r="C57" s="16"/>
      <c r="D57" s="20"/>
      <c r="E57" s="15"/>
      <c r="F57" s="21"/>
      <c r="G57" s="20"/>
      <c r="H57" s="20"/>
      <c r="I57" s="20"/>
      <c r="J57" s="20"/>
      <c r="K57" s="20"/>
      <c r="L57" s="20"/>
      <c r="M57" s="20"/>
      <c r="N57" s="20"/>
      <c r="O57" s="20"/>
      <c r="P57" s="20"/>
      <c r="Q57" s="20"/>
      <c r="R57" s="20"/>
    </row>
    <row r="58" spans="1:18" ht="15" x14ac:dyDescent="0.2">
      <c r="A58" t="s">
        <v>58</v>
      </c>
      <c r="B58" s="6"/>
      <c r="C58" s="6"/>
      <c r="D58" s="8"/>
      <c r="E58" s="6"/>
      <c r="F58" s="7"/>
      <c r="G58" s="3"/>
      <c r="H58" s="3"/>
      <c r="I58" s="3"/>
      <c r="J58" s="3"/>
      <c r="K58" s="3"/>
      <c r="L58" s="3"/>
      <c r="M58" s="3"/>
      <c r="N58" s="3"/>
      <c r="O58" s="3"/>
      <c r="P58" s="3"/>
      <c r="Q58" s="3"/>
      <c r="R58" s="3"/>
    </row>
    <row r="59" spans="1:18" ht="15" x14ac:dyDescent="0.2">
      <c r="A59"/>
      <c r="B59" s="6"/>
      <c r="C59" s="6"/>
      <c r="D59" s="8"/>
      <c r="E59" s="12"/>
      <c r="F59" s="14"/>
      <c r="G59" s="3"/>
      <c r="H59" s="3"/>
      <c r="I59" s="3"/>
      <c r="J59" s="3"/>
      <c r="K59" s="3"/>
      <c r="L59" s="3"/>
      <c r="M59" s="3"/>
      <c r="N59" s="3"/>
      <c r="O59" s="3"/>
      <c r="P59" s="3"/>
      <c r="Q59" s="3"/>
      <c r="R59" s="3"/>
    </row>
    <row r="60" spans="1:18" ht="15.75" x14ac:dyDescent="0.25">
      <c r="A60" s="71" t="s">
        <v>79</v>
      </c>
      <c r="B60" s="6"/>
      <c r="C60" s="6"/>
      <c r="D60" s="8"/>
      <c r="E60" s="6"/>
      <c r="F60" s="7"/>
      <c r="G60" s="3"/>
      <c r="H60" s="3"/>
      <c r="I60" s="3"/>
      <c r="J60" s="3"/>
      <c r="K60" s="3"/>
      <c r="L60" s="3"/>
      <c r="M60" s="3"/>
      <c r="N60" s="3"/>
      <c r="O60" s="3"/>
      <c r="P60" s="3"/>
      <c r="Q60" s="3"/>
      <c r="R60" s="3"/>
    </row>
    <row r="61" spans="1:18" x14ac:dyDescent="0.2">
      <c r="A61" s="3"/>
      <c r="B61" s="6"/>
      <c r="C61" s="6"/>
      <c r="D61" s="8"/>
      <c r="E61" s="6"/>
      <c r="F61" s="7"/>
      <c r="G61" s="3"/>
      <c r="H61" s="3"/>
      <c r="I61" s="3"/>
      <c r="J61" s="3"/>
      <c r="K61" s="3"/>
      <c r="L61" s="3"/>
      <c r="M61" s="3"/>
      <c r="N61" s="3"/>
      <c r="O61" s="3"/>
      <c r="P61" s="3"/>
      <c r="Q61" s="3"/>
      <c r="R61" s="3"/>
    </row>
    <row r="62" spans="1:18" x14ac:dyDescent="0.2">
      <c r="A62" s="3"/>
      <c r="B62" s="6"/>
      <c r="C62" s="6"/>
      <c r="D62" s="8"/>
      <c r="E62" s="6"/>
      <c r="F62" s="7"/>
      <c r="G62" s="3"/>
      <c r="H62" s="3"/>
      <c r="I62" s="3"/>
      <c r="J62" s="3"/>
      <c r="K62" s="3"/>
      <c r="L62" s="3"/>
      <c r="M62" s="3"/>
      <c r="N62" s="3"/>
      <c r="O62" s="3"/>
      <c r="P62" s="3"/>
      <c r="Q62" s="3"/>
      <c r="R62" s="3"/>
    </row>
    <row r="63" spans="1:18" x14ac:dyDescent="0.2">
      <c r="A63" s="3"/>
      <c r="B63" s="6"/>
      <c r="C63" s="6"/>
      <c r="D63" s="8"/>
      <c r="E63" s="6"/>
      <c r="F63" s="7"/>
      <c r="G63" s="3"/>
      <c r="H63" s="3"/>
      <c r="I63" s="3"/>
      <c r="J63" s="3"/>
      <c r="K63" s="3"/>
      <c r="L63" s="3"/>
      <c r="M63" s="3"/>
      <c r="N63" s="3"/>
      <c r="O63" s="3"/>
      <c r="P63" s="3"/>
      <c r="Q63" s="3"/>
      <c r="R63" s="3"/>
    </row>
    <row r="64" spans="1:18" x14ac:dyDescent="0.2">
      <c r="A64" s="3"/>
      <c r="B64" s="6"/>
      <c r="C64" s="6"/>
      <c r="D64" s="8"/>
      <c r="E64" s="6"/>
      <c r="F64" s="7"/>
      <c r="G64" s="3"/>
      <c r="H64" s="3"/>
      <c r="I64" s="3"/>
      <c r="J64" s="3"/>
      <c r="K64" s="3"/>
      <c r="L64" s="3"/>
      <c r="M64" s="3"/>
      <c r="N64" s="3"/>
      <c r="O64" s="3"/>
      <c r="P64" s="3"/>
      <c r="Q64" s="3"/>
      <c r="R64" s="3"/>
    </row>
    <row r="65" spans="1:18" x14ac:dyDescent="0.2">
      <c r="A65" s="3"/>
      <c r="B65" s="6"/>
      <c r="C65" s="6"/>
      <c r="D65" s="8"/>
      <c r="E65" s="6"/>
      <c r="F65" s="7"/>
      <c r="G65" s="3"/>
      <c r="H65" s="3"/>
      <c r="I65" s="3"/>
      <c r="J65" s="3"/>
      <c r="K65" s="3"/>
      <c r="L65" s="3"/>
      <c r="M65" s="3"/>
      <c r="N65" s="3"/>
      <c r="O65" s="3"/>
      <c r="P65" s="3"/>
      <c r="Q65" s="3"/>
      <c r="R65" s="3"/>
    </row>
    <row r="66" spans="1:18" x14ac:dyDescent="0.2">
      <c r="A66" s="3"/>
      <c r="B66" s="6"/>
      <c r="C66" s="6"/>
      <c r="D66" s="8"/>
      <c r="E66" s="6"/>
      <c r="F66" s="7"/>
      <c r="G66" s="3"/>
      <c r="H66" s="3"/>
      <c r="I66" s="3"/>
      <c r="J66" s="3"/>
      <c r="K66" s="3"/>
      <c r="L66" s="3"/>
      <c r="M66" s="3"/>
      <c r="N66" s="3"/>
      <c r="O66" s="3"/>
      <c r="P66" s="3"/>
      <c r="Q66" s="3"/>
      <c r="R66" s="3"/>
    </row>
    <row r="67" spans="1:18" x14ac:dyDescent="0.2">
      <c r="A67" s="3"/>
      <c r="B67" s="6"/>
      <c r="C67" s="6"/>
      <c r="D67" s="8"/>
      <c r="E67" s="6"/>
      <c r="F67" s="7"/>
      <c r="G67" s="3"/>
      <c r="H67" s="3"/>
      <c r="I67" s="3"/>
      <c r="J67" s="3"/>
      <c r="K67" s="3"/>
      <c r="L67" s="3"/>
      <c r="M67" s="3"/>
      <c r="N67" s="3"/>
      <c r="O67" s="3"/>
      <c r="P67" s="3"/>
      <c r="Q67" s="3"/>
      <c r="R67" s="3"/>
    </row>
    <row r="68" spans="1:18" x14ac:dyDescent="0.2">
      <c r="A68" s="3"/>
      <c r="B68" s="6"/>
      <c r="C68" s="6"/>
      <c r="D68" s="8"/>
      <c r="E68" s="6"/>
      <c r="F68" s="7"/>
      <c r="G68" s="3"/>
      <c r="H68" s="3"/>
      <c r="I68" s="3"/>
      <c r="J68" s="3"/>
      <c r="K68" s="3"/>
      <c r="L68" s="3"/>
      <c r="M68" s="3"/>
      <c r="N68" s="3"/>
      <c r="O68" s="3"/>
      <c r="P68" s="3"/>
      <c r="Q68" s="3"/>
      <c r="R68" s="3"/>
    </row>
    <row r="69" spans="1:18" x14ac:dyDescent="0.2">
      <c r="A69" s="3"/>
      <c r="B69" s="3"/>
      <c r="C69" s="3"/>
      <c r="D69" s="3"/>
      <c r="E69" s="6"/>
      <c r="F69" s="7"/>
      <c r="G69" s="3"/>
      <c r="H69" s="3"/>
      <c r="I69" s="3"/>
      <c r="J69" s="3"/>
      <c r="K69" s="3"/>
      <c r="L69" s="3"/>
      <c r="M69" s="3"/>
      <c r="N69" s="3"/>
      <c r="O69" s="3"/>
      <c r="P69" s="3"/>
      <c r="Q69" s="3"/>
      <c r="R69" s="3"/>
    </row>
    <row r="70" spans="1:18" x14ac:dyDescent="0.2">
      <c r="A70" s="3"/>
      <c r="B70" s="3"/>
      <c r="C70" s="3"/>
      <c r="D70" s="3"/>
      <c r="E70" s="6"/>
      <c r="F70" s="7"/>
      <c r="G70" s="3"/>
      <c r="H70" s="3"/>
      <c r="I70" s="3"/>
      <c r="J70" s="3"/>
      <c r="K70" s="3"/>
      <c r="L70" s="3"/>
      <c r="M70" s="3"/>
      <c r="N70" s="3"/>
      <c r="O70" s="3"/>
      <c r="P70" s="3"/>
      <c r="Q70" s="3"/>
      <c r="R70" s="3"/>
    </row>
    <row r="71" spans="1:18" x14ac:dyDescent="0.2">
      <c r="A71" s="3"/>
      <c r="B71" s="3"/>
      <c r="C71" s="3"/>
      <c r="D71" s="3"/>
      <c r="E71" s="6"/>
      <c r="F71" s="7"/>
      <c r="G71" s="3"/>
      <c r="H71" s="3"/>
      <c r="I71" s="3"/>
      <c r="J71" s="3"/>
      <c r="K71" s="3"/>
      <c r="L71" s="3"/>
      <c r="M71" s="3"/>
      <c r="N71" s="3"/>
      <c r="O71" s="3"/>
      <c r="P71" s="3"/>
      <c r="Q71" s="3"/>
      <c r="R71" s="3"/>
    </row>
    <row r="72" spans="1:18" x14ac:dyDescent="0.2">
      <c r="A72" s="3"/>
      <c r="B72" s="3"/>
      <c r="C72" s="3"/>
      <c r="D72" s="3"/>
      <c r="E72" s="6"/>
      <c r="F72" s="7"/>
      <c r="G72" s="3"/>
      <c r="H72" s="3"/>
      <c r="I72" s="3"/>
      <c r="J72" s="3"/>
      <c r="K72" s="3"/>
      <c r="L72" s="3"/>
      <c r="M72" s="3"/>
      <c r="N72" s="3"/>
      <c r="O72" s="3"/>
      <c r="P72" s="3"/>
      <c r="Q72" s="3"/>
      <c r="R72" s="3"/>
    </row>
    <row r="73" spans="1:18" x14ac:dyDescent="0.2">
      <c r="A73" s="3"/>
      <c r="B73" s="3"/>
      <c r="C73" s="3"/>
      <c r="D73" s="3"/>
      <c r="E73" s="3"/>
      <c r="F73" s="3"/>
      <c r="G73" s="3"/>
      <c r="H73" s="3"/>
      <c r="I73" s="3"/>
      <c r="J73" s="3"/>
      <c r="K73" s="3"/>
      <c r="L73" s="3"/>
      <c r="M73" s="3"/>
      <c r="N73" s="3"/>
      <c r="O73" s="3"/>
      <c r="P73" s="3"/>
      <c r="Q73" s="3"/>
      <c r="R73" s="3"/>
    </row>
    <row r="74" spans="1:18" x14ac:dyDescent="0.2">
      <c r="A74" s="3"/>
      <c r="B74" s="3"/>
      <c r="C74" s="3"/>
      <c r="D74" s="3"/>
      <c r="E74" s="3"/>
      <c r="F74" s="3"/>
      <c r="G74" s="3"/>
      <c r="H74" s="3"/>
      <c r="I74" s="3"/>
      <c r="J74" s="3"/>
      <c r="K74" s="3"/>
      <c r="L74" s="3"/>
      <c r="M74" s="3"/>
      <c r="N74" s="3"/>
      <c r="O74" s="3"/>
      <c r="P74" s="3"/>
      <c r="Q74" s="3"/>
      <c r="R74" s="3"/>
    </row>
    <row r="75" spans="1:18" x14ac:dyDescent="0.2">
      <c r="A75" s="3"/>
      <c r="B75" s="3"/>
      <c r="C75" s="3"/>
      <c r="D75" s="3"/>
      <c r="E75" s="3"/>
      <c r="F75" s="3"/>
      <c r="G75" s="3"/>
      <c r="H75" s="3"/>
      <c r="I75" s="3"/>
      <c r="J75" s="3"/>
      <c r="K75" s="3"/>
      <c r="L75" s="3"/>
      <c r="M75" s="3"/>
      <c r="N75" s="3"/>
      <c r="O75" s="3"/>
      <c r="P75" s="3"/>
      <c r="Q75" s="3"/>
      <c r="R75" s="3"/>
    </row>
    <row r="76" spans="1:18" x14ac:dyDescent="0.2">
      <c r="A76" s="3"/>
      <c r="B76" s="3"/>
      <c r="C76" s="3"/>
      <c r="D76" s="3"/>
      <c r="E76" s="3"/>
      <c r="F76" s="3"/>
      <c r="G76" s="3"/>
      <c r="H76" s="3"/>
      <c r="I76" s="3"/>
      <c r="J76" s="3"/>
      <c r="K76" s="3"/>
      <c r="L76" s="3"/>
      <c r="M76" s="3"/>
      <c r="N76" s="3"/>
      <c r="O76" s="3"/>
      <c r="P76" s="3"/>
      <c r="Q76" s="3"/>
      <c r="R76" s="3"/>
    </row>
    <row r="77" spans="1:18" x14ac:dyDescent="0.2">
      <c r="A77" s="3"/>
      <c r="B77" s="3"/>
      <c r="C77" s="3"/>
      <c r="D77" s="3"/>
      <c r="E77" s="3"/>
      <c r="F77" s="3"/>
      <c r="G77" s="3"/>
      <c r="H77" s="3"/>
      <c r="I77" s="3"/>
      <c r="J77" s="3"/>
      <c r="K77" s="3"/>
      <c r="L77" s="3"/>
      <c r="M77" s="3"/>
      <c r="N77" s="3"/>
      <c r="O77" s="3"/>
      <c r="P77" s="3"/>
      <c r="Q77" s="3"/>
      <c r="R77" s="3"/>
    </row>
    <row r="78" spans="1:18" x14ac:dyDescent="0.2">
      <c r="A78" s="3"/>
      <c r="B78" s="3"/>
      <c r="C78" s="3"/>
      <c r="D78" s="3"/>
      <c r="E78" s="3"/>
      <c r="F78" s="3"/>
      <c r="G78" s="3"/>
      <c r="H78" s="3"/>
      <c r="I78" s="3"/>
      <c r="J78" s="3"/>
      <c r="K78" s="3"/>
      <c r="L78" s="3"/>
      <c r="M78" s="3"/>
      <c r="N78" s="3"/>
      <c r="O78" s="3"/>
      <c r="P78" s="3"/>
      <c r="Q78" s="3"/>
      <c r="R78" s="3"/>
    </row>
    <row r="79" spans="1:18" x14ac:dyDescent="0.2">
      <c r="A79" s="3"/>
      <c r="E79" s="3"/>
      <c r="F79" s="3"/>
      <c r="G79" s="3"/>
      <c r="H79" s="3"/>
      <c r="I79" s="3"/>
      <c r="J79" s="3"/>
      <c r="K79" s="3"/>
      <c r="L79" s="3"/>
      <c r="M79" s="3"/>
      <c r="N79" s="3"/>
      <c r="O79" s="3"/>
      <c r="P79" s="3"/>
      <c r="Q79" s="3"/>
      <c r="R79" s="3"/>
    </row>
    <row r="80" spans="1:18" x14ac:dyDescent="0.2">
      <c r="A80" s="3"/>
      <c r="E80" s="3"/>
      <c r="F80" s="3"/>
      <c r="G80" s="3"/>
      <c r="H80" s="3"/>
      <c r="I80" s="3"/>
      <c r="J80" s="3"/>
      <c r="K80" s="3"/>
      <c r="L80" s="3"/>
      <c r="M80" s="3"/>
      <c r="N80" s="3"/>
      <c r="O80" s="3"/>
      <c r="P80" s="3"/>
      <c r="Q80" s="3"/>
      <c r="R80" s="3"/>
    </row>
    <row r="81" spans="1:18" x14ac:dyDescent="0.2">
      <c r="A81" s="3"/>
      <c r="E81" s="3"/>
      <c r="F81" s="3"/>
      <c r="G81" s="3"/>
      <c r="H81" s="3"/>
      <c r="I81" s="3"/>
      <c r="J81" s="3"/>
      <c r="K81" s="3"/>
      <c r="L81" s="3"/>
      <c r="M81" s="3"/>
      <c r="N81" s="3"/>
      <c r="O81" s="3"/>
      <c r="P81" s="3"/>
      <c r="Q81" s="3"/>
      <c r="R81" s="3"/>
    </row>
    <row r="82" spans="1:18" x14ac:dyDescent="0.2">
      <c r="A82" s="3"/>
      <c r="E82" s="3"/>
      <c r="F82" s="3"/>
      <c r="G82" s="3"/>
      <c r="H82" s="3"/>
      <c r="I82" s="3"/>
      <c r="J82" s="3"/>
      <c r="K82" s="3"/>
      <c r="L82" s="3"/>
      <c r="M82" s="3"/>
      <c r="N82" s="3"/>
      <c r="O82" s="3"/>
      <c r="P82" s="3"/>
      <c r="Q82" s="3"/>
      <c r="R82" s="3"/>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85"/>
  <sheetViews>
    <sheetView workbookViewId="0"/>
  </sheetViews>
  <sheetFormatPr defaultColWidth="9.77734375" defaultRowHeight="14.25" x14ac:dyDescent="0.2"/>
  <cols>
    <col min="1" max="1" width="34.5546875" style="1" bestFit="1" customWidth="1"/>
    <col min="2" max="2" width="14.5546875" style="1" bestFit="1" customWidth="1"/>
    <col min="3" max="3" width="10.88671875" style="1" bestFit="1" customWidth="1"/>
    <col min="4" max="4" width="15" style="1" customWidth="1"/>
    <col min="5" max="5" width="14.88671875" style="1" bestFit="1" customWidth="1"/>
    <col min="6" max="6" width="14.21875" style="1" bestFit="1" customWidth="1"/>
    <col min="7" max="16384" width="9.77734375" style="1"/>
  </cols>
  <sheetData>
    <row r="1" spans="1:13" ht="15.75" thickBot="1" x14ac:dyDescent="0.3">
      <c r="A1" s="108" t="s">
        <v>80</v>
      </c>
      <c r="B1" s="109"/>
      <c r="C1" s="109"/>
      <c r="D1" s="109"/>
      <c r="E1" s="109"/>
      <c r="F1" s="109"/>
      <c r="G1" s="3"/>
      <c r="H1" s="3"/>
      <c r="I1" s="3"/>
      <c r="J1" s="3"/>
      <c r="K1" s="3"/>
      <c r="L1" s="3"/>
      <c r="M1" s="3"/>
    </row>
    <row r="2" spans="1:13" ht="47.25" customHeight="1" thickBot="1" x14ac:dyDescent="0.3">
      <c r="A2" s="18"/>
      <c r="B2" s="62" t="s">
        <v>76</v>
      </c>
      <c r="C2" s="19" t="s">
        <v>2</v>
      </c>
      <c r="D2" s="19" t="s">
        <v>3</v>
      </c>
      <c r="E2" s="19" t="s">
        <v>4</v>
      </c>
      <c r="F2" s="19" t="s">
        <v>1</v>
      </c>
      <c r="G2" s="3"/>
      <c r="H2" s="3"/>
      <c r="I2" s="3"/>
      <c r="J2" s="3"/>
      <c r="K2" s="3"/>
      <c r="L2" s="3"/>
      <c r="M2" s="3"/>
    </row>
    <row r="3" spans="1:13" x14ac:dyDescent="0.2">
      <c r="A3" s="1" t="s">
        <v>5</v>
      </c>
      <c r="B3" s="72">
        <v>18000</v>
      </c>
      <c r="C3" s="63">
        <v>18000</v>
      </c>
      <c r="D3" s="63">
        <v>80</v>
      </c>
      <c r="E3" s="63">
        <v>1440</v>
      </c>
      <c r="F3" s="64">
        <v>39.190071848465053</v>
      </c>
      <c r="G3" s="16"/>
      <c r="H3" s="3"/>
      <c r="I3" s="3"/>
      <c r="J3" s="3"/>
      <c r="K3" s="3"/>
      <c r="L3" s="3"/>
      <c r="M3" s="3"/>
    </row>
    <row r="4" spans="1:13" x14ac:dyDescent="0.2">
      <c r="A4" s="1" t="s">
        <v>6</v>
      </c>
      <c r="B4" s="72">
        <v>109000</v>
      </c>
      <c r="C4" s="63">
        <v>109000</v>
      </c>
      <c r="D4" s="63">
        <v>74.900000000000006</v>
      </c>
      <c r="E4" s="63">
        <v>8164.1</v>
      </c>
      <c r="F4" s="64">
        <v>222.1886566514261</v>
      </c>
      <c r="G4" s="16"/>
      <c r="H4" s="3"/>
      <c r="I4" s="3"/>
      <c r="J4" s="3"/>
      <c r="K4" s="3"/>
      <c r="L4" s="3"/>
      <c r="M4" s="3"/>
    </row>
    <row r="5" spans="1:13" x14ac:dyDescent="0.2">
      <c r="A5" s="1" t="s">
        <v>7</v>
      </c>
      <c r="B5" s="72">
        <v>55000</v>
      </c>
      <c r="C5" s="63">
        <v>55000</v>
      </c>
      <c r="D5" s="63">
        <v>81</v>
      </c>
      <c r="E5" s="63">
        <v>4455</v>
      </c>
      <c r="F5" s="64">
        <v>121.24428478118877</v>
      </c>
      <c r="H5" s="3"/>
      <c r="I5" s="3"/>
      <c r="J5" s="3"/>
      <c r="K5" s="3"/>
      <c r="L5" s="3"/>
      <c r="M5" s="3"/>
    </row>
    <row r="6" spans="1:13" x14ac:dyDescent="0.2">
      <c r="A6" s="1" t="s">
        <v>8</v>
      </c>
      <c r="B6" s="72">
        <v>75000</v>
      </c>
      <c r="C6" s="63">
        <v>75000</v>
      </c>
      <c r="D6" s="63">
        <v>72</v>
      </c>
      <c r="E6" s="63">
        <v>5400</v>
      </c>
      <c r="F6" s="64">
        <v>146.96276943174396</v>
      </c>
      <c r="H6" s="3"/>
      <c r="I6" s="3"/>
      <c r="J6" s="3"/>
      <c r="K6" s="3"/>
      <c r="L6" s="3"/>
      <c r="M6" s="3"/>
    </row>
    <row r="7" spans="1:13" x14ac:dyDescent="0.2">
      <c r="A7" s="1" t="s">
        <v>9</v>
      </c>
      <c r="B7" s="72">
        <v>42000</v>
      </c>
      <c r="C7" s="63">
        <v>42000</v>
      </c>
      <c r="D7" s="63">
        <v>77</v>
      </c>
      <c r="E7" s="63">
        <v>3234</v>
      </c>
      <c r="F7" s="64">
        <v>88.014369693011105</v>
      </c>
      <c r="H7" s="3"/>
      <c r="I7" s="3"/>
      <c r="J7" s="3"/>
      <c r="K7" s="3"/>
      <c r="L7" s="3"/>
      <c r="M7" s="3"/>
    </row>
    <row r="8" spans="1:13" x14ac:dyDescent="0.2">
      <c r="A8" s="1" t="s">
        <v>10</v>
      </c>
      <c r="B8" s="72">
        <v>10000</v>
      </c>
      <c r="C8" s="63">
        <v>10000</v>
      </c>
      <c r="D8" s="63">
        <v>76</v>
      </c>
      <c r="E8" s="63">
        <v>760</v>
      </c>
      <c r="F8" s="64">
        <v>20.683649031134333</v>
      </c>
      <c r="H8" s="3"/>
      <c r="I8" s="3"/>
      <c r="J8" s="3"/>
      <c r="K8" s="3"/>
      <c r="L8" s="3"/>
      <c r="M8" s="3"/>
    </row>
    <row r="9" spans="1:13" x14ac:dyDescent="0.2">
      <c r="A9" s="1" t="s">
        <v>11</v>
      </c>
      <c r="B9" s="72">
        <v>133000</v>
      </c>
      <c r="C9" s="63">
        <v>133000</v>
      </c>
      <c r="D9" s="63">
        <v>79</v>
      </c>
      <c r="E9" s="63">
        <v>10507</v>
      </c>
      <c r="F9" s="64">
        <v>285.95144785543221</v>
      </c>
      <c r="H9" s="3"/>
      <c r="I9" s="3"/>
      <c r="J9" s="3"/>
      <c r="K9" s="3"/>
      <c r="L9" s="3"/>
      <c r="M9" s="3"/>
    </row>
    <row r="10" spans="1:13" x14ac:dyDescent="0.2">
      <c r="A10" s="1" t="s">
        <v>12</v>
      </c>
      <c r="B10" s="72">
        <v>116000</v>
      </c>
      <c r="C10" s="63">
        <v>116000</v>
      </c>
      <c r="D10" s="63">
        <v>83</v>
      </c>
      <c r="E10" s="63">
        <v>9628</v>
      </c>
      <c r="F10" s="64">
        <v>262.02917483126498</v>
      </c>
      <c r="H10" s="3"/>
      <c r="I10" s="3"/>
      <c r="J10" s="3"/>
      <c r="K10" s="3"/>
      <c r="L10" s="3"/>
      <c r="M10" s="3"/>
    </row>
    <row r="11" spans="1:13" x14ac:dyDescent="0.2">
      <c r="A11" s="1" t="s">
        <v>13</v>
      </c>
      <c r="B11" s="72">
        <v>29000</v>
      </c>
      <c r="C11" s="63">
        <v>29000</v>
      </c>
      <c r="D11" s="63">
        <v>75</v>
      </c>
      <c r="E11" s="63">
        <v>2175</v>
      </c>
      <c r="F11" s="64">
        <v>59.193337687785764</v>
      </c>
      <c r="H11" s="3"/>
      <c r="I11" s="3"/>
      <c r="J11" s="3"/>
      <c r="K11" s="3"/>
      <c r="L11" s="3"/>
      <c r="M11" s="3"/>
    </row>
    <row r="12" spans="1:13" x14ac:dyDescent="0.2">
      <c r="A12" s="1" t="s">
        <v>14</v>
      </c>
      <c r="B12" s="72">
        <v>52000</v>
      </c>
      <c r="C12" s="63">
        <v>52000</v>
      </c>
      <c r="D12" s="63">
        <v>92</v>
      </c>
      <c r="E12" s="63">
        <v>4784</v>
      </c>
      <c r="F12" s="64">
        <v>130.19812758545612</v>
      </c>
      <c r="H12" s="3"/>
      <c r="I12" s="3"/>
      <c r="J12" s="3"/>
      <c r="K12" s="3"/>
      <c r="L12" s="3"/>
      <c r="M12" s="3"/>
    </row>
    <row r="13" spans="1:13" ht="15" x14ac:dyDescent="0.25">
      <c r="A13" s="23" t="s">
        <v>15</v>
      </c>
      <c r="B13" s="67">
        <v>639000</v>
      </c>
      <c r="C13" s="67">
        <v>639000</v>
      </c>
      <c r="D13" s="68">
        <v>79.103442879499212</v>
      </c>
      <c r="E13" s="67">
        <v>50547.1</v>
      </c>
      <c r="F13" s="68">
        <v>1375.6558893969084</v>
      </c>
      <c r="G13" s="23"/>
      <c r="H13" s="3"/>
      <c r="I13" s="3"/>
      <c r="J13" s="3"/>
      <c r="K13" s="3"/>
      <c r="L13" s="3"/>
      <c r="M13" s="3"/>
    </row>
    <row r="14" spans="1:13" x14ac:dyDescent="0.2">
      <c r="A14" s="1" t="s">
        <v>16</v>
      </c>
      <c r="B14" s="72">
        <v>58000</v>
      </c>
      <c r="C14" s="63">
        <v>58000</v>
      </c>
      <c r="D14" s="63">
        <v>89</v>
      </c>
      <c r="E14" s="63">
        <v>5162</v>
      </c>
      <c r="F14" s="64">
        <v>140.48552144567822</v>
      </c>
      <c r="H14" s="3"/>
      <c r="I14" s="3"/>
      <c r="J14" s="3"/>
      <c r="K14" s="3"/>
      <c r="L14" s="3"/>
      <c r="M14" s="3"/>
    </row>
    <row r="15" spans="1:13" x14ac:dyDescent="0.2">
      <c r="A15" s="1" t="s">
        <v>17</v>
      </c>
      <c r="B15" s="72">
        <v>19000</v>
      </c>
      <c r="C15" s="63">
        <v>19000</v>
      </c>
      <c r="D15" s="63">
        <v>79</v>
      </c>
      <c r="E15" s="63">
        <v>1501</v>
      </c>
      <c r="F15" s="64">
        <v>40.850206836490308</v>
      </c>
      <c r="H15" s="3"/>
      <c r="I15" s="3"/>
      <c r="J15" s="3"/>
      <c r="K15" s="3"/>
      <c r="L15" s="3"/>
      <c r="M15" s="3"/>
    </row>
    <row r="16" spans="1:13" x14ac:dyDescent="0.2">
      <c r="A16" s="1" t="s">
        <v>18</v>
      </c>
      <c r="B16" s="72">
        <v>17000</v>
      </c>
      <c r="C16" s="63">
        <v>17000</v>
      </c>
      <c r="D16" s="63">
        <v>70</v>
      </c>
      <c r="E16" s="63">
        <v>1190</v>
      </c>
      <c r="F16" s="64">
        <v>32.386239930328763</v>
      </c>
      <c r="H16" s="3"/>
      <c r="I16" s="3"/>
      <c r="J16" s="3"/>
      <c r="K16" s="3"/>
      <c r="L16" s="3"/>
      <c r="M16" s="3"/>
    </row>
    <row r="17" spans="1:13" x14ac:dyDescent="0.2">
      <c r="A17" s="1" t="s">
        <v>19</v>
      </c>
      <c r="B17" s="72">
        <v>10000</v>
      </c>
      <c r="C17" s="63">
        <v>10000</v>
      </c>
      <c r="D17" s="63">
        <v>64</v>
      </c>
      <c r="E17" s="63">
        <v>640</v>
      </c>
      <c r="F17" s="64">
        <v>17.417809710428912</v>
      </c>
      <c r="H17" s="3"/>
      <c r="I17" s="3"/>
      <c r="J17" s="3"/>
      <c r="K17" s="3"/>
      <c r="L17" s="3"/>
      <c r="M17" s="3"/>
    </row>
    <row r="18" spans="1:13" x14ac:dyDescent="0.2">
      <c r="A18" s="1" t="s">
        <v>20</v>
      </c>
      <c r="B18" s="72">
        <v>107000</v>
      </c>
      <c r="C18" s="63">
        <v>107000</v>
      </c>
      <c r="D18" s="63">
        <v>90</v>
      </c>
      <c r="E18" s="63">
        <v>9630</v>
      </c>
      <c r="F18" s="64">
        <v>262.08360548661005</v>
      </c>
      <c r="H18" s="3"/>
      <c r="I18" s="3"/>
      <c r="J18" s="3"/>
      <c r="K18" s="3"/>
      <c r="L18" s="3"/>
      <c r="M18" s="3"/>
    </row>
    <row r="19" spans="1:13" x14ac:dyDescent="0.2">
      <c r="A19" s="1" t="s">
        <v>21</v>
      </c>
      <c r="B19" s="72">
        <v>6500</v>
      </c>
      <c r="C19" s="63">
        <v>6500</v>
      </c>
      <c r="D19" s="63">
        <v>79</v>
      </c>
      <c r="E19" s="63">
        <v>513.5</v>
      </c>
      <c r="F19" s="64">
        <v>13.975070759851949</v>
      </c>
      <c r="H19" s="3"/>
      <c r="I19" s="3"/>
      <c r="J19" s="3"/>
      <c r="K19" s="3"/>
      <c r="L19" s="3"/>
      <c r="M19" s="3"/>
    </row>
    <row r="20" spans="1:13" x14ac:dyDescent="0.2">
      <c r="A20" s="1" t="s">
        <v>22</v>
      </c>
      <c r="B20" s="72">
        <v>83000</v>
      </c>
      <c r="C20" s="63">
        <v>83000</v>
      </c>
      <c r="D20" s="63">
        <v>93</v>
      </c>
      <c r="E20" s="63">
        <v>7719</v>
      </c>
      <c r="F20" s="64">
        <v>210.07511430437623</v>
      </c>
      <c r="H20" s="3"/>
      <c r="I20" s="3"/>
      <c r="J20" s="3"/>
      <c r="K20" s="3"/>
      <c r="L20" s="3"/>
      <c r="M20" s="3"/>
    </row>
    <row r="21" spans="1:13" x14ac:dyDescent="0.2">
      <c r="A21" s="1" t="s">
        <v>23</v>
      </c>
      <c r="B21" s="72">
        <v>49000</v>
      </c>
      <c r="C21" s="63">
        <v>49000</v>
      </c>
      <c r="D21" s="63">
        <v>74</v>
      </c>
      <c r="E21" s="63">
        <v>3626</v>
      </c>
      <c r="F21" s="64">
        <v>98.682778140648807</v>
      </c>
      <c r="H21" s="3"/>
      <c r="I21" s="3"/>
      <c r="J21" s="3"/>
      <c r="K21" s="3"/>
      <c r="L21" s="3"/>
      <c r="M21" s="3"/>
    </row>
    <row r="22" spans="1:13" x14ac:dyDescent="0.2">
      <c r="A22" s="1" t="s">
        <v>24</v>
      </c>
      <c r="B22" s="72">
        <v>33000</v>
      </c>
      <c r="C22" s="63">
        <v>33000</v>
      </c>
      <c r="D22" s="63">
        <v>82</v>
      </c>
      <c r="E22" s="63">
        <v>2706</v>
      </c>
      <c r="F22" s="64">
        <v>73.644676681907256</v>
      </c>
      <c r="H22" s="3"/>
      <c r="I22" s="3"/>
      <c r="J22" s="3"/>
      <c r="K22" s="3"/>
      <c r="L22" s="3"/>
      <c r="M22" s="3"/>
    </row>
    <row r="23" spans="1:13" x14ac:dyDescent="0.2">
      <c r="A23" s="1" t="s">
        <v>25</v>
      </c>
      <c r="B23" s="72">
        <v>76000</v>
      </c>
      <c r="C23" s="63">
        <v>76000</v>
      </c>
      <c r="D23" s="63">
        <v>87</v>
      </c>
      <c r="E23" s="63">
        <v>6612</v>
      </c>
      <c r="F23" s="64">
        <v>179.9477465708687</v>
      </c>
      <c r="H23" s="3"/>
      <c r="I23" s="3"/>
      <c r="J23" s="3"/>
      <c r="K23" s="3"/>
      <c r="L23" s="3"/>
      <c r="M23" s="3"/>
    </row>
    <row r="24" spans="1:13" ht="15" x14ac:dyDescent="0.25">
      <c r="A24" s="23" t="s">
        <v>26</v>
      </c>
      <c r="B24" s="67">
        <v>458500</v>
      </c>
      <c r="C24" s="67">
        <v>458500</v>
      </c>
      <c r="D24" s="68">
        <v>85.713195201744824</v>
      </c>
      <c r="E24" s="67">
        <v>39299.5</v>
      </c>
      <c r="F24" s="68">
        <v>1069.5487698671891</v>
      </c>
      <c r="G24" s="23"/>
      <c r="H24" s="3"/>
      <c r="I24" s="3"/>
      <c r="J24" s="3"/>
      <c r="K24" s="3"/>
      <c r="L24" s="3"/>
      <c r="M24" s="3"/>
    </row>
    <row r="25" spans="1:13" x14ac:dyDescent="0.2">
      <c r="A25" s="1" t="s">
        <v>27</v>
      </c>
      <c r="B25" s="72">
        <v>20000</v>
      </c>
      <c r="C25" s="63">
        <v>20000</v>
      </c>
      <c r="D25" s="63">
        <v>69</v>
      </c>
      <c r="E25" s="63">
        <v>1380</v>
      </c>
      <c r="F25" s="64">
        <v>37.557152188112347</v>
      </c>
      <c r="H25" s="3"/>
      <c r="I25" s="3"/>
      <c r="J25" s="3"/>
      <c r="K25" s="3"/>
      <c r="L25" s="3"/>
      <c r="M25" s="3"/>
    </row>
    <row r="26" spans="1:13" x14ac:dyDescent="0.2">
      <c r="A26" s="1" t="s">
        <v>28</v>
      </c>
      <c r="B26" s="72" t="s">
        <v>64</v>
      </c>
      <c r="C26" s="72" t="s">
        <v>64</v>
      </c>
      <c r="D26" s="72" t="s">
        <v>64</v>
      </c>
      <c r="E26" s="69" t="s">
        <v>64</v>
      </c>
      <c r="F26" s="69" t="s">
        <v>64</v>
      </c>
      <c r="H26" s="3"/>
      <c r="I26" s="3"/>
      <c r="J26" s="3"/>
      <c r="K26" s="3"/>
      <c r="L26" s="3"/>
      <c r="M26" s="3"/>
    </row>
    <row r="27" spans="1:13" x14ac:dyDescent="0.2">
      <c r="A27" s="1" t="s">
        <v>29</v>
      </c>
      <c r="B27" s="72">
        <v>7500</v>
      </c>
      <c r="C27" s="63">
        <v>7500</v>
      </c>
      <c r="D27" s="63">
        <v>62</v>
      </c>
      <c r="E27" s="63">
        <v>465</v>
      </c>
      <c r="F27" s="64">
        <v>12.655127367733508</v>
      </c>
      <c r="H27" s="3"/>
      <c r="I27" s="3"/>
      <c r="J27" s="3"/>
      <c r="K27" s="3"/>
      <c r="L27" s="3"/>
      <c r="M27" s="3"/>
    </row>
    <row r="28" spans="1:13" x14ac:dyDescent="0.2">
      <c r="A28" s="1" t="s">
        <v>30</v>
      </c>
      <c r="B28" s="72">
        <v>20000</v>
      </c>
      <c r="C28" s="63">
        <v>20000</v>
      </c>
      <c r="D28" s="63">
        <v>61</v>
      </c>
      <c r="E28" s="63">
        <v>1220</v>
      </c>
      <c r="F28" s="64">
        <v>33.202699760505119</v>
      </c>
      <c r="H28" s="3"/>
      <c r="I28" s="3"/>
      <c r="J28" s="3"/>
      <c r="K28" s="3"/>
      <c r="L28" s="3"/>
      <c r="M28" s="3"/>
    </row>
    <row r="29" spans="1:13" x14ac:dyDescent="0.2">
      <c r="A29" s="1" t="s">
        <v>31</v>
      </c>
      <c r="B29" s="72" t="s">
        <v>64</v>
      </c>
      <c r="C29" s="72" t="s">
        <v>64</v>
      </c>
      <c r="D29" s="72" t="s">
        <v>64</v>
      </c>
      <c r="E29" s="69" t="s">
        <v>64</v>
      </c>
      <c r="F29" s="69" t="s">
        <v>64</v>
      </c>
      <c r="H29" s="3"/>
      <c r="I29" s="3"/>
      <c r="J29" s="3"/>
      <c r="K29" s="3"/>
      <c r="L29" s="3"/>
      <c r="M29" s="3"/>
    </row>
    <row r="30" spans="1:13" x14ac:dyDescent="0.2">
      <c r="A30" s="1" t="s">
        <v>32</v>
      </c>
      <c r="B30" s="72">
        <v>16000</v>
      </c>
      <c r="C30" s="63">
        <v>16000</v>
      </c>
      <c r="D30" s="63">
        <v>70</v>
      </c>
      <c r="E30" s="63">
        <v>1120</v>
      </c>
      <c r="F30" s="64">
        <v>30.4811669932506</v>
      </c>
      <c r="H30" s="3"/>
      <c r="I30" s="3"/>
      <c r="J30" s="3"/>
      <c r="K30" s="3"/>
      <c r="L30" s="3"/>
      <c r="M30" s="3"/>
    </row>
    <row r="31" spans="1:13" x14ac:dyDescent="0.2">
      <c r="A31" s="1" t="s">
        <v>33</v>
      </c>
      <c r="B31" s="72" t="s">
        <v>64</v>
      </c>
      <c r="C31" s="72" t="s">
        <v>64</v>
      </c>
      <c r="D31" s="72" t="s">
        <v>64</v>
      </c>
      <c r="E31" s="69" t="s">
        <v>64</v>
      </c>
      <c r="F31" s="69" t="s">
        <v>64</v>
      </c>
      <c r="H31" s="3"/>
      <c r="I31" s="3"/>
      <c r="J31" s="3"/>
      <c r="K31" s="3"/>
      <c r="L31" s="3"/>
      <c r="M31" s="3"/>
    </row>
    <row r="32" spans="1:13" x14ac:dyDescent="0.2">
      <c r="A32" s="1" t="s">
        <v>34</v>
      </c>
      <c r="B32" s="72">
        <v>9500</v>
      </c>
      <c r="C32" s="63">
        <v>9500</v>
      </c>
      <c r="D32" s="63">
        <v>62</v>
      </c>
      <c r="E32" s="63">
        <v>589</v>
      </c>
      <c r="F32" s="64">
        <v>16.029827999129111</v>
      </c>
      <c r="H32" s="3"/>
      <c r="I32" s="3"/>
      <c r="J32" s="3"/>
      <c r="K32" s="3"/>
      <c r="L32" s="3"/>
      <c r="M32" s="3"/>
    </row>
    <row r="33" spans="1:13" x14ac:dyDescent="0.2">
      <c r="A33" s="1" t="s">
        <v>35</v>
      </c>
      <c r="B33" s="72">
        <v>11000</v>
      </c>
      <c r="C33" s="63">
        <v>11000</v>
      </c>
      <c r="D33" s="63">
        <v>69</v>
      </c>
      <c r="E33" s="63">
        <v>759</v>
      </c>
      <c r="F33" s="64">
        <v>20.65643370346179</v>
      </c>
      <c r="H33" s="3"/>
      <c r="I33" s="3"/>
      <c r="J33" s="3"/>
      <c r="K33" s="3"/>
      <c r="L33" s="3"/>
      <c r="M33" s="3"/>
    </row>
    <row r="34" spans="1:13" x14ac:dyDescent="0.2">
      <c r="A34" s="1" t="s">
        <v>36</v>
      </c>
      <c r="B34" s="72">
        <v>17000</v>
      </c>
      <c r="C34" s="63">
        <v>17000</v>
      </c>
      <c r="D34" s="63">
        <v>62</v>
      </c>
      <c r="E34" s="63">
        <v>1054</v>
      </c>
      <c r="F34" s="64">
        <v>28.684955366862617</v>
      </c>
      <c r="H34" s="3"/>
      <c r="I34" s="3"/>
      <c r="J34" s="3"/>
      <c r="K34" s="3"/>
      <c r="L34" s="3"/>
      <c r="M34" s="3"/>
    </row>
    <row r="35" spans="1:13" ht="15" x14ac:dyDescent="0.25">
      <c r="A35" s="23" t="s">
        <v>37</v>
      </c>
      <c r="B35" s="65">
        <v>101000</v>
      </c>
      <c r="C35" s="65">
        <v>101000</v>
      </c>
      <c r="D35" s="68">
        <v>65.21782178217822</v>
      </c>
      <c r="E35" s="67">
        <v>6587</v>
      </c>
      <c r="F35" s="68">
        <v>179.2673633790551</v>
      </c>
      <c r="G35" s="23"/>
      <c r="H35" s="3"/>
      <c r="I35" s="3"/>
      <c r="J35" s="3"/>
      <c r="K35" s="3"/>
      <c r="L35" s="3"/>
      <c r="M35" s="3"/>
    </row>
    <row r="36" spans="1:13" x14ac:dyDescent="0.2">
      <c r="A36" s="1" t="s">
        <v>38</v>
      </c>
      <c r="B36" s="72" t="s">
        <v>64</v>
      </c>
      <c r="C36" s="72" t="s">
        <v>64</v>
      </c>
      <c r="D36" s="72" t="s">
        <v>64</v>
      </c>
      <c r="E36" s="69" t="s">
        <v>64</v>
      </c>
      <c r="F36" s="69" t="s">
        <v>64</v>
      </c>
      <c r="H36" s="3"/>
      <c r="I36" s="3"/>
      <c r="J36" s="3"/>
      <c r="K36" s="3"/>
      <c r="L36" s="3"/>
      <c r="M36" s="3"/>
    </row>
    <row r="37" spans="1:13" x14ac:dyDescent="0.2">
      <c r="A37" s="1" t="s">
        <v>39</v>
      </c>
      <c r="B37" s="72" t="s">
        <v>64</v>
      </c>
      <c r="C37" s="72" t="s">
        <v>64</v>
      </c>
      <c r="D37" s="72" t="s">
        <v>64</v>
      </c>
      <c r="E37" s="69" t="s">
        <v>64</v>
      </c>
      <c r="F37" s="69" t="s">
        <v>64</v>
      </c>
      <c r="H37" s="3"/>
      <c r="I37" s="3"/>
      <c r="J37" s="3"/>
      <c r="K37" s="3"/>
      <c r="L37" s="3"/>
      <c r="M37" s="3"/>
    </row>
    <row r="38" spans="1:13" x14ac:dyDescent="0.2">
      <c r="A38" s="1" t="s">
        <v>40</v>
      </c>
      <c r="B38" s="72" t="s">
        <v>64</v>
      </c>
      <c r="C38" s="72" t="s">
        <v>64</v>
      </c>
      <c r="D38" s="72" t="s">
        <v>64</v>
      </c>
      <c r="E38" s="69" t="s">
        <v>64</v>
      </c>
      <c r="F38" s="69" t="s">
        <v>64</v>
      </c>
      <c r="H38" s="3"/>
      <c r="I38" s="3"/>
      <c r="J38" s="3"/>
      <c r="K38" s="3"/>
      <c r="L38" s="3"/>
      <c r="M38" s="3"/>
    </row>
    <row r="39" spans="1:13" x14ac:dyDescent="0.2">
      <c r="A39" s="1" t="s">
        <v>41</v>
      </c>
      <c r="B39" s="72">
        <v>9500</v>
      </c>
      <c r="C39" s="63">
        <v>9500</v>
      </c>
      <c r="D39" s="63">
        <v>77</v>
      </c>
      <c r="E39" s="63">
        <v>731.5</v>
      </c>
      <c r="F39" s="64">
        <v>19.908012192466796</v>
      </c>
      <c r="H39" s="3"/>
      <c r="I39" s="3"/>
      <c r="J39" s="3"/>
      <c r="K39" s="3"/>
      <c r="L39" s="3"/>
      <c r="M39" s="3"/>
    </row>
    <row r="40" spans="1:13" x14ac:dyDescent="0.2">
      <c r="A40" s="1" t="s">
        <v>42</v>
      </c>
      <c r="B40" s="72" t="s">
        <v>64</v>
      </c>
      <c r="C40" s="72" t="s">
        <v>64</v>
      </c>
      <c r="D40" s="72" t="s">
        <v>64</v>
      </c>
      <c r="E40" s="69" t="s">
        <v>64</v>
      </c>
      <c r="F40" s="69" t="s">
        <v>64</v>
      </c>
      <c r="H40" s="3"/>
      <c r="I40" s="3"/>
      <c r="J40" s="3"/>
      <c r="K40" s="3"/>
      <c r="L40" s="3"/>
      <c r="M40" s="3"/>
    </row>
    <row r="41" spans="1:13" x14ac:dyDescent="0.2">
      <c r="A41" s="1" t="s">
        <v>43</v>
      </c>
      <c r="B41" s="72" t="s">
        <v>64</v>
      </c>
      <c r="C41" s="72" t="s">
        <v>64</v>
      </c>
      <c r="D41" s="72" t="s">
        <v>64</v>
      </c>
      <c r="E41" s="69" t="s">
        <v>64</v>
      </c>
      <c r="F41" s="69" t="s">
        <v>64</v>
      </c>
      <c r="H41" s="3"/>
      <c r="I41" s="3"/>
      <c r="J41" s="3"/>
      <c r="K41" s="3"/>
      <c r="L41" s="3"/>
      <c r="M41" s="3"/>
    </row>
    <row r="42" spans="1:13" x14ac:dyDescent="0.2">
      <c r="A42" s="1" t="s">
        <v>44</v>
      </c>
      <c r="B42" s="72">
        <v>2200</v>
      </c>
      <c r="C42" s="63">
        <v>2200</v>
      </c>
      <c r="D42" s="63">
        <v>59</v>
      </c>
      <c r="E42" s="63">
        <v>129.80000000000001</v>
      </c>
      <c r="F42" s="64">
        <v>3.5325495318963642</v>
      </c>
      <c r="H42" s="3"/>
      <c r="I42" s="3"/>
      <c r="J42" s="3"/>
      <c r="K42" s="3"/>
      <c r="L42" s="3"/>
      <c r="M42" s="3"/>
    </row>
    <row r="43" spans="1:13" x14ac:dyDescent="0.2">
      <c r="A43" s="1" t="s">
        <v>45</v>
      </c>
      <c r="B43" s="72">
        <v>3500</v>
      </c>
      <c r="C43" s="63">
        <v>3500</v>
      </c>
      <c r="D43" s="63">
        <v>83</v>
      </c>
      <c r="E43" s="63">
        <v>290.5</v>
      </c>
      <c r="F43" s="64">
        <v>7.9060526888743743</v>
      </c>
      <c r="H43" s="3"/>
      <c r="I43" s="3"/>
      <c r="J43" s="3"/>
      <c r="K43" s="3"/>
      <c r="L43" s="3"/>
      <c r="M43" s="3"/>
    </row>
    <row r="44" spans="1:13" ht="15" x14ac:dyDescent="0.25">
      <c r="A44" s="23" t="s">
        <v>46</v>
      </c>
      <c r="B44" s="25">
        <v>19000</v>
      </c>
      <c r="C44" s="67">
        <v>19000</v>
      </c>
      <c r="D44" s="68">
        <v>72.3</v>
      </c>
      <c r="E44" s="65">
        <v>1373.7</v>
      </c>
      <c r="F44" s="68">
        <v>37.385695623775312</v>
      </c>
      <c r="G44" s="23"/>
      <c r="H44" s="3"/>
      <c r="I44" s="3"/>
      <c r="J44" s="3"/>
      <c r="K44" s="3"/>
      <c r="L44" s="3"/>
      <c r="M44" s="3"/>
    </row>
    <row r="45" spans="1:13" x14ac:dyDescent="0.2">
      <c r="A45" s="1" t="s">
        <v>47</v>
      </c>
      <c r="B45" s="72" t="s">
        <v>64</v>
      </c>
      <c r="C45" s="72" t="s">
        <v>64</v>
      </c>
      <c r="D45" s="72" t="s">
        <v>64</v>
      </c>
      <c r="E45" s="69" t="s">
        <v>64</v>
      </c>
      <c r="F45" s="69" t="s">
        <v>64</v>
      </c>
      <c r="H45" s="3"/>
      <c r="I45" s="3"/>
      <c r="J45" s="3"/>
      <c r="K45" s="3"/>
      <c r="L45" s="3"/>
      <c r="M45" s="3"/>
    </row>
    <row r="46" spans="1:13" x14ac:dyDescent="0.2">
      <c r="A46" s="1" t="s">
        <v>48</v>
      </c>
      <c r="B46" s="72" t="s">
        <v>64</v>
      </c>
      <c r="C46" s="72" t="s">
        <v>64</v>
      </c>
      <c r="D46" s="72" t="s">
        <v>64</v>
      </c>
      <c r="E46" s="69" t="s">
        <v>64</v>
      </c>
      <c r="F46" s="69" t="s">
        <v>64</v>
      </c>
      <c r="H46" s="3"/>
      <c r="I46" s="3"/>
      <c r="J46" s="3"/>
      <c r="K46" s="3"/>
      <c r="L46" s="3"/>
      <c r="M46" s="3"/>
    </row>
    <row r="47" spans="1:13" x14ac:dyDescent="0.2">
      <c r="A47" s="24" t="s">
        <v>49</v>
      </c>
      <c r="B47" s="72" t="s">
        <v>64</v>
      </c>
      <c r="C47" s="72" t="s">
        <v>64</v>
      </c>
      <c r="D47" s="72" t="s">
        <v>64</v>
      </c>
      <c r="E47" s="69" t="s">
        <v>64</v>
      </c>
      <c r="F47" s="69" t="s">
        <v>64</v>
      </c>
      <c r="G47" s="24"/>
      <c r="H47" s="3"/>
      <c r="I47" s="3"/>
      <c r="J47" s="3"/>
      <c r="K47" s="3"/>
      <c r="L47" s="3"/>
      <c r="M47" s="3"/>
    </row>
    <row r="48" spans="1:13" x14ac:dyDescent="0.2">
      <c r="A48" s="1" t="s">
        <v>50</v>
      </c>
      <c r="B48" s="72" t="s">
        <v>64</v>
      </c>
      <c r="C48" s="72" t="s">
        <v>64</v>
      </c>
      <c r="D48" s="72" t="s">
        <v>64</v>
      </c>
      <c r="E48" s="69" t="s">
        <v>64</v>
      </c>
      <c r="F48" s="69" t="s">
        <v>64</v>
      </c>
      <c r="H48" s="3"/>
      <c r="I48" s="3"/>
      <c r="J48" s="3"/>
      <c r="K48" s="3"/>
      <c r="L48" s="3"/>
      <c r="M48" s="3"/>
    </row>
    <row r="49" spans="1:13" x14ac:dyDescent="0.2">
      <c r="A49" s="1" t="s">
        <v>51</v>
      </c>
      <c r="B49" s="72" t="s">
        <v>64</v>
      </c>
      <c r="C49" s="72" t="s">
        <v>64</v>
      </c>
      <c r="D49" s="72" t="s">
        <v>64</v>
      </c>
      <c r="E49" s="69" t="s">
        <v>64</v>
      </c>
      <c r="F49" s="69" t="s">
        <v>64</v>
      </c>
      <c r="H49" s="3"/>
      <c r="I49" s="3"/>
      <c r="J49" s="3"/>
      <c r="K49" s="3"/>
      <c r="L49" s="3"/>
      <c r="M49" s="3"/>
    </row>
    <row r="50" spans="1:13" x14ac:dyDescent="0.2">
      <c r="A50" s="1" t="s">
        <v>52</v>
      </c>
      <c r="B50" s="72" t="s">
        <v>64</v>
      </c>
      <c r="C50" s="72" t="s">
        <v>64</v>
      </c>
      <c r="D50" s="72" t="s">
        <v>64</v>
      </c>
      <c r="E50" s="69" t="s">
        <v>64</v>
      </c>
      <c r="F50" s="69" t="s">
        <v>64</v>
      </c>
      <c r="H50" s="3"/>
      <c r="I50" s="3"/>
      <c r="J50" s="3"/>
      <c r="K50" s="3"/>
      <c r="L50" s="3"/>
      <c r="M50" s="3"/>
    </row>
    <row r="51" spans="1:13" x14ac:dyDescent="0.2">
      <c r="A51" s="1" t="s">
        <v>53</v>
      </c>
      <c r="B51" s="72" t="s">
        <v>64</v>
      </c>
      <c r="C51" s="72" t="s">
        <v>64</v>
      </c>
      <c r="D51" s="72" t="s">
        <v>64</v>
      </c>
      <c r="E51" s="69" t="s">
        <v>64</v>
      </c>
      <c r="F51" s="69" t="s">
        <v>64</v>
      </c>
      <c r="H51" s="3"/>
      <c r="I51" s="3"/>
      <c r="J51" s="3"/>
      <c r="K51" s="3"/>
      <c r="L51" s="3"/>
      <c r="M51" s="3"/>
    </row>
    <row r="52" spans="1:13" x14ac:dyDescent="0.2">
      <c r="A52" s="1" t="s">
        <v>54</v>
      </c>
      <c r="B52" s="72" t="s">
        <v>64</v>
      </c>
      <c r="C52" s="72" t="s">
        <v>64</v>
      </c>
      <c r="D52" s="72" t="s">
        <v>64</v>
      </c>
      <c r="E52" s="69" t="s">
        <v>64</v>
      </c>
      <c r="F52" s="69" t="s">
        <v>64</v>
      </c>
      <c r="H52" s="3"/>
      <c r="I52" s="3"/>
      <c r="J52" s="3"/>
      <c r="K52" s="3"/>
      <c r="L52" s="3"/>
      <c r="M52" s="3"/>
    </row>
    <row r="53" spans="1:13" x14ac:dyDescent="0.2">
      <c r="A53" s="1" t="s">
        <v>55</v>
      </c>
      <c r="B53" s="72" t="s">
        <v>64</v>
      </c>
      <c r="C53" s="72" t="s">
        <v>64</v>
      </c>
      <c r="D53" s="72" t="s">
        <v>64</v>
      </c>
      <c r="E53" s="69" t="s">
        <v>64</v>
      </c>
      <c r="F53" s="69" t="s">
        <v>64</v>
      </c>
      <c r="H53" s="3"/>
      <c r="I53" s="3"/>
      <c r="J53" s="3"/>
      <c r="K53" s="3"/>
      <c r="L53" s="3"/>
      <c r="M53" s="3"/>
    </row>
    <row r="54" spans="1:13" x14ac:dyDescent="0.2">
      <c r="A54" s="1" t="s">
        <v>56</v>
      </c>
      <c r="B54" s="72">
        <v>5800</v>
      </c>
      <c r="C54" s="63">
        <v>5800</v>
      </c>
      <c r="D54" s="63">
        <v>70</v>
      </c>
      <c r="E54" s="63">
        <v>406</v>
      </c>
      <c r="F54" s="64">
        <v>11.049423035053342</v>
      </c>
      <c r="H54" s="3"/>
      <c r="I54" s="3"/>
      <c r="J54" s="3"/>
      <c r="K54" s="3"/>
      <c r="L54" s="3"/>
      <c r="M54" s="3"/>
    </row>
    <row r="55" spans="1:13" ht="15" x14ac:dyDescent="0.25">
      <c r="A55" s="23" t="s">
        <v>57</v>
      </c>
      <c r="B55" s="25">
        <v>7500</v>
      </c>
      <c r="C55" s="67">
        <v>7500</v>
      </c>
      <c r="D55" s="68">
        <v>65.7</v>
      </c>
      <c r="E55" s="65">
        <v>492.75</v>
      </c>
      <c r="F55" s="68">
        <v>13.410352710646636</v>
      </c>
      <c r="G55" s="23"/>
      <c r="H55" s="3"/>
      <c r="I55" s="3"/>
      <c r="J55" s="3"/>
      <c r="K55" s="3"/>
      <c r="L55" s="3"/>
      <c r="M55" s="3"/>
    </row>
    <row r="56" spans="1:13" ht="15" x14ac:dyDescent="0.25">
      <c r="A56" s="17" t="s">
        <v>0</v>
      </c>
      <c r="B56" s="65">
        <v>1225000</v>
      </c>
      <c r="C56" s="65">
        <v>1225000</v>
      </c>
      <c r="D56" s="68">
        <v>80.244938775510207</v>
      </c>
      <c r="E56" s="65">
        <v>98300.05</v>
      </c>
      <c r="F56" s="68">
        <v>2675.2680709775746</v>
      </c>
      <c r="G56" s="17"/>
      <c r="H56" s="3"/>
      <c r="I56" s="3"/>
      <c r="J56" s="3"/>
      <c r="K56" s="3"/>
      <c r="L56" s="3"/>
      <c r="M56" s="3"/>
    </row>
    <row r="57" spans="1:13" s="22" customFormat="1" x14ac:dyDescent="0.2">
      <c r="A57" s="20"/>
      <c r="B57" s="20"/>
      <c r="C57" s="16"/>
      <c r="D57" s="20"/>
      <c r="E57" s="15"/>
      <c r="F57" s="21"/>
      <c r="G57" s="20"/>
      <c r="H57" s="20"/>
      <c r="I57" s="20"/>
      <c r="J57" s="20"/>
      <c r="K57" s="20"/>
      <c r="L57" s="20"/>
      <c r="M57" s="20"/>
    </row>
    <row r="58" spans="1:13" x14ac:dyDescent="0.2">
      <c r="A58" s="3"/>
      <c r="B58" s="12"/>
      <c r="C58" s="12"/>
      <c r="D58" s="13"/>
      <c r="E58" s="6"/>
      <c r="F58" s="7"/>
      <c r="G58" s="3"/>
      <c r="H58" s="3"/>
      <c r="I58" s="3"/>
      <c r="J58" s="3"/>
      <c r="K58" s="3"/>
      <c r="L58" s="3"/>
      <c r="M58" s="3"/>
    </row>
    <row r="59" spans="1:13" x14ac:dyDescent="0.2">
      <c r="A59" s="3"/>
      <c r="B59" s="6"/>
      <c r="C59" s="6"/>
      <c r="D59" s="8"/>
      <c r="E59" s="6"/>
      <c r="F59" s="7"/>
      <c r="G59" s="3"/>
      <c r="H59" s="3"/>
      <c r="I59" s="3"/>
      <c r="J59" s="3"/>
      <c r="K59" s="3"/>
      <c r="L59" s="3"/>
      <c r="M59" s="3"/>
    </row>
    <row r="60" spans="1:13" x14ac:dyDescent="0.2">
      <c r="A60" s="3"/>
      <c r="B60" s="6"/>
      <c r="C60" s="6"/>
      <c r="D60" s="8"/>
      <c r="E60" s="6"/>
      <c r="F60" s="7"/>
      <c r="G60" s="3"/>
      <c r="H60" s="3"/>
      <c r="I60" s="3"/>
      <c r="J60" s="3"/>
      <c r="K60" s="3"/>
      <c r="L60" s="3"/>
      <c r="M60" s="3"/>
    </row>
    <row r="61" spans="1:13" x14ac:dyDescent="0.2">
      <c r="A61" s="3"/>
      <c r="B61" s="6"/>
      <c r="C61" s="6"/>
      <c r="D61" s="8"/>
      <c r="E61" s="6"/>
      <c r="F61" s="7"/>
      <c r="G61" s="3"/>
      <c r="H61" s="3"/>
      <c r="I61" s="3"/>
      <c r="J61" s="3"/>
      <c r="K61" s="3"/>
      <c r="L61" s="3"/>
      <c r="M61" s="3"/>
    </row>
    <row r="62" spans="1:13" x14ac:dyDescent="0.2">
      <c r="A62" s="2"/>
      <c r="B62" s="6"/>
      <c r="C62" s="6"/>
      <c r="D62" s="8"/>
      <c r="E62" s="12"/>
      <c r="F62" s="14"/>
      <c r="G62" s="3"/>
      <c r="H62" s="3"/>
      <c r="I62" s="3"/>
      <c r="J62" s="3"/>
      <c r="K62" s="3"/>
      <c r="L62" s="3"/>
      <c r="M62" s="3"/>
    </row>
    <row r="63" spans="1:13" x14ac:dyDescent="0.2">
      <c r="A63" s="3"/>
      <c r="B63" s="6"/>
      <c r="C63" s="6"/>
      <c r="D63" s="8"/>
      <c r="E63" s="6"/>
      <c r="F63" s="7"/>
      <c r="G63" s="3"/>
      <c r="H63" s="3"/>
      <c r="I63" s="3"/>
      <c r="J63" s="3"/>
      <c r="K63" s="3"/>
      <c r="L63" s="3"/>
      <c r="M63" s="3"/>
    </row>
    <row r="64" spans="1:13" x14ac:dyDescent="0.2">
      <c r="A64" s="3"/>
      <c r="B64" s="6"/>
      <c r="C64" s="6"/>
      <c r="D64" s="8"/>
      <c r="E64" s="6"/>
      <c r="F64" s="7"/>
      <c r="G64" s="3"/>
      <c r="H64" s="3"/>
      <c r="I64" s="3"/>
      <c r="J64" s="3"/>
      <c r="K64" s="3"/>
      <c r="L64" s="3"/>
      <c r="M64" s="3"/>
    </row>
    <row r="65" spans="1:13" x14ac:dyDescent="0.2">
      <c r="A65" s="3"/>
      <c r="B65" s="6"/>
      <c r="C65" s="6"/>
      <c r="D65" s="8"/>
      <c r="E65" s="6"/>
      <c r="F65" s="7"/>
      <c r="G65" s="3"/>
      <c r="H65" s="3"/>
      <c r="I65" s="3"/>
      <c r="J65" s="3"/>
      <c r="K65" s="3"/>
      <c r="L65" s="3"/>
      <c r="M65" s="3"/>
    </row>
    <row r="66" spans="1:13" x14ac:dyDescent="0.2">
      <c r="A66" s="3"/>
      <c r="B66" s="6"/>
      <c r="C66" s="6"/>
      <c r="D66" s="8"/>
      <c r="E66" s="6"/>
      <c r="F66" s="7"/>
      <c r="G66" s="3"/>
      <c r="H66" s="3"/>
      <c r="I66" s="3"/>
      <c r="J66" s="3"/>
      <c r="K66" s="3"/>
      <c r="L66" s="3"/>
      <c r="M66" s="3"/>
    </row>
    <row r="67" spans="1:13" x14ac:dyDescent="0.2">
      <c r="A67" s="3"/>
      <c r="B67" s="6"/>
      <c r="C67" s="6"/>
      <c r="D67" s="8"/>
      <c r="E67" s="6"/>
      <c r="F67" s="7"/>
      <c r="G67" s="3"/>
      <c r="H67" s="3"/>
      <c r="I67" s="3"/>
      <c r="J67" s="3"/>
      <c r="K67" s="3"/>
      <c r="L67" s="3"/>
      <c r="M67" s="3"/>
    </row>
    <row r="68" spans="1:13" x14ac:dyDescent="0.2">
      <c r="A68" s="3"/>
      <c r="B68" s="6"/>
      <c r="C68" s="6"/>
      <c r="D68" s="8"/>
      <c r="E68" s="6"/>
      <c r="F68" s="7"/>
      <c r="G68" s="3"/>
      <c r="H68" s="3"/>
      <c r="I68" s="3"/>
      <c r="J68" s="3"/>
      <c r="K68" s="3"/>
      <c r="L68" s="3"/>
      <c r="M68" s="3"/>
    </row>
    <row r="69" spans="1:13" x14ac:dyDescent="0.2">
      <c r="A69" s="3"/>
      <c r="B69" s="6"/>
      <c r="C69" s="6"/>
      <c r="D69" s="8"/>
      <c r="E69" s="6"/>
      <c r="F69" s="7"/>
      <c r="G69" s="3"/>
      <c r="H69" s="3"/>
      <c r="I69" s="3"/>
      <c r="J69" s="3"/>
      <c r="K69" s="3"/>
      <c r="L69" s="3"/>
      <c r="M69" s="3"/>
    </row>
    <row r="70" spans="1:13" x14ac:dyDescent="0.2">
      <c r="A70" s="3"/>
      <c r="B70" s="6"/>
      <c r="C70" s="6"/>
      <c r="D70" s="8"/>
      <c r="E70" s="6"/>
      <c r="F70" s="7"/>
      <c r="G70" s="3"/>
      <c r="H70" s="3"/>
      <c r="I70" s="3"/>
      <c r="J70" s="3"/>
      <c r="K70" s="3"/>
      <c r="L70" s="3"/>
      <c r="M70" s="3"/>
    </row>
    <row r="71" spans="1:13" x14ac:dyDescent="0.2">
      <c r="A71" s="3"/>
      <c r="B71" s="6"/>
      <c r="C71" s="6"/>
      <c r="D71" s="8"/>
      <c r="E71" s="6"/>
      <c r="F71" s="7"/>
      <c r="G71" s="3"/>
      <c r="H71" s="3"/>
      <c r="I71" s="3"/>
      <c r="J71" s="3"/>
      <c r="K71" s="3"/>
      <c r="L71" s="3"/>
      <c r="M71" s="3"/>
    </row>
    <row r="72" spans="1:13" x14ac:dyDescent="0.2">
      <c r="A72" s="3"/>
      <c r="B72" s="3"/>
      <c r="C72" s="3"/>
      <c r="D72" s="3"/>
      <c r="E72" s="6"/>
      <c r="F72" s="7"/>
      <c r="G72" s="3"/>
      <c r="H72" s="3"/>
      <c r="I72" s="3"/>
      <c r="J72" s="3"/>
      <c r="K72" s="3"/>
      <c r="L72" s="3"/>
      <c r="M72" s="3"/>
    </row>
    <row r="73" spans="1:13" x14ac:dyDescent="0.2">
      <c r="A73" s="3"/>
      <c r="B73" s="3"/>
      <c r="C73" s="3"/>
      <c r="D73" s="3"/>
      <c r="E73" s="6"/>
      <c r="F73" s="7"/>
      <c r="G73" s="3"/>
      <c r="H73" s="3"/>
      <c r="I73" s="3"/>
      <c r="J73" s="3"/>
      <c r="K73" s="3"/>
      <c r="L73" s="3"/>
      <c r="M73" s="3"/>
    </row>
    <row r="74" spans="1:13" x14ac:dyDescent="0.2">
      <c r="A74" s="3"/>
      <c r="B74" s="3"/>
      <c r="C74" s="3"/>
      <c r="D74" s="3"/>
      <c r="E74" s="6"/>
      <c r="F74" s="7"/>
      <c r="G74" s="3"/>
      <c r="H74" s="3"/>
      <c r="I74" s="3"/>
      <c r="J74" s="3"/>
      <c r="K74" s="3"/>
      <c r="L74" s="3"/>
      <c r="M74" s="3"/>
    </row>
    <row r="75" spans="1:13" x14ac:dyDescent="0.2">
      <c r="A75" s="3"/>
      <c r="B75" s="3"/>
      <c r="C75" s="3"/>
      <c r="D75" s="3"/>
      <c r="E75" s="6"/>
      <c r="F75" s="7"/>
      <c r="G75" s="3"/>
      <c r="H75" s="3"/>
      <c r="I75" s="3"/>
      <c r="J75" s="3"/>
      <c r="K75" s="3"/>
      <c r="L75" s="3"/>
      <c r="M75" s="3"/>
    </row>
    <row r="76" spans="1:13" x14ac:dyDescent="0.2">
      <c r="A76" s="3"/>
      <c r="B76" s="3"/>
      <c r="C76" s="3"/>
      <c r="D76" s="3"/>
      <c r="E76" s="3"/>
      <c r="F76" s="3"/>
      <c r="G76" s="3"/>
      <c r="H76" s="3"/>
      <c r="I76" s="3"/>
      <c r="J76" s="3"/>
      <c r="K76" s="3"/>
      <c r="L76" s="3"/>
      <c r="M76" s="3"/>
    </row>
    <row r="77" spans="1:13" x14ac:dyDescent="0.2">
      <c r="A77" s="3"/>
      <c r="B77" s="3"/>
      <c r="C77" s="3"/>
      <c r="D77" s="3"/>
      <c r="E77" s="3"/>
      <c r="F77" s="3"/>
      <c r="G77" s="3"/>
      <c r="H77" s="3"/>
      <c r="I77" s="3"/>
      <c r="J77" s="3"/>
      <c r="K77" s="3"/>
      <c r="L77" s="3"/>
      <c r="M77" s="3"/>
    </row>
    <row r="78" spans="1:13" x14ac:dyDescent="0.2">
      <c r="A78" s="3"/>
      <c r="B78" s="3"/>
      <c r="C78" s="3"/>
      <c r="D78" s="3"/>
      <c r="E78" s="3"/>
      <c r="F78" s="3"/>
      <c r="G78" s="3"/>
      <c r="H78" s="3"/>
      <c r="I78" s="3"/>
      <c r="J78" s="3"/>
      <c r="K78" s="3"/>
      <c r="L78" s="3"/>
      <c r="M78" s="3"/>
    </row>
    <row r="79" spans="1:13" x14ac:dyDescent="0.2">
      <c r="A79" s="3"/>
      <c r="B79" s="3"/>
      <c r="C79" s="3"/>
      <c r="D79" s="3"/>
      <c r="E79" s="3"/>
      <c r="F79" s="3"/>
      <c r="G79" s="3"/>
      <c r="H79" s="3"/>
      <c r="I79" s="3"/>
      <c r="J79" s="3"/>
      <c r="K79" s="3"/>
      <c r="L79" s="3"/>
      <c r="M79" s="3"/>
    </row>
    <row r="80" spans="1:13" x14ac:dyDescent="0.2">
      <c r="A80" s="3"/>
      <c r="B80" s="3"/>
      <c r="C80" s="3"/>
      <c r="D80" s="3"/>
      <c r="E80" s="3"/>
      <c r="F80" s="3"/>
      <c r="G80" s="3"/>
      <c r="H80" s="3"/>
      <c r="I80" s="3"/>
      <c r="J80" s="3"/>
      <c r="K80" s="3"/>
      <c r="L80" s="3"/>
      <c r="M80" s="3"/>
    </row>
    <row r="81" spans="1:13" x14ac:dyDescent="0.2">
      <c r="A81" s="3"/>
      <c r="B81" s="3"/>
      <c r="C81" s="3"/>
      <c r="D81" s="3"/>
      <c r="E81" s="3"/>
      <c r="F81" s="3"/>
      <c r="G81" s="3"/>
      <c r="H81" s="3"/>
      <c r="I81" s="3"/>
      <c r="J81" s="3"/>
      <c r="K81" s="3"/>
      <c r="L81" s="3"/>
      <c r="M81" s="3"/>
    </row>
    <row r="82" spans="1:13" x14ac:dyDescent="0.2">
      <c r="A82" s="3"/>
      <c r="E82" s="3"/>
      <c r="F82" s="3"/>
      <c r="G82" s="3"/>
      <c r="H82" s="3"/>
      <c r="I82" s="3"/>
      <c r="J82" s="3"/>
      <c r="K82" s="3"/>
      <c r="L82" s="3"/>
      <c r="M82" s="3"/>
    </row>
    <row r="83" spans="1:13" x14ac:dyDescent="0.2">
      <c r="A83" s="3"/>
      <c r="E83" s="3"/>
      <c r="F83" s="3"/>
      <c r="G83" s="3"/>
      <c r="H83" s="3"/>
      <c r="I83" s="3"/>
      <c r="J83" s="3"/>
      <c r="K83" s="3"/>
      <c r="L83" s="3"/>
      <c r="M83" s="3"/>
    </row>
    <row r="84" spans="1:13" x14ac:dyDescent="0.2">
      <c r="A84" s="3"/>
      <c r="E84" s="3"/>
      <c r="F84" s="3"/>
      <c r="G84" s="3"/>
      <c r="H84" s="3"/>
      <c r="I84" s="3"/>
      <c r="J84" s="3"/>
      <c r="K84" s="3"/>
      <c r="L84" s="3"/>
      <c r="M84" s="3"/>
    </row>
    <row r="85" spans="1:13" x14ac:dyDescent="0.2">
      <c r="A85" s="3"/>
      <c r="E85" s="3"/>
      <c r="F85" s="3"/>
      <c r="G85" s="3"/>
      <c r="H85" s="3"/>
      <c r="I85" s="3"/>
      <c r="J85" s="3"/>
      <c r="K85" s="3"/>
      <c r="L85" s="3"/>
      <c r="M85" s="3"/>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85"/>
  <sheetViews>
    <sheetView workbookViewId="0"/>
  </sheetViews>
  <sheetFormatPr defaultColWidth="9.77734375" defaultRowHeight="14.25" x14ac:dyDescent="0.2"/>
  <cols>
    <col min="1" max="1" width="34.5546875" style="1" bestFit="1" customWidth="1"/>
    <col min="2" max="2" width="14.5546875" style="1" bestFit="1" customWidth="1"/>
    <col min="3" max="3" width="10.88671875" style="1" bestFit="1" customWidth="1"/>
    <col min="4" max="4" width="15" style="1" customWidth="1"/>
    <col min="5" max="5" width="14.88671875" style="1" bestFit="1" customWidth="1"/>
    <col min="6" max="6" width="14.21875" style="1" bestFit="1" customWidth="1"/>
    <col min="7" max="16384" width="9.77734375" style="1"/>
  </cols>
  <sheetData>
    <row r="1" spans="1:18" ht="15.75" thickBot="1" x14ac:dyDescent="0.3">
      <c r="A1" s="108" t="s">
        <v>83</v>
      </c>
      <c r="B1" s="109"/>
      <c r="C1" s="109"/>
      <c r="D1" s="109"/>
      <c r="E1" s="109"/>
      <c r="F1" s="109"/>
      <c r="G1" s="3"/>
      <c r="H1" s="3"/>
      <c r="I1" s="3"/>
      <c r="J1" s="3"/>
      <c r="K1" s="3"/>
      <c r="L1" s="3"/>
      <c r="M1" s="3"/>
      <c r="N1" s="3"/>
      <c r="O1" s="3"/>
      <c r="P1" s="3"/>
      <c r="Q1" s="3"/>
      <c r="R1" s="3"/>
    </row>
    <row r="2" spans="1:18" ht="47.25" customHeight="1" thickBot="1" x14ac:dyDescent="0.3">
      <c r="A2" s="18"/>
      <c r="B2" s="62" t="s">
        <v>76</v>
      </c>
      <c r="C2" s="19" t="s">
        <v>2</v>
      </c>
      <c r="D2" s="19" t="s">
        <v>3</v>
      </c>
      <c r="E2" s="19" t="s">
        <v>4</v>
      </c>
      <c r="F2" s="19" t="s">
        <v>1</v>
      </c>
      <c r="G2" s="3"/>
      <c r="H2" s="3"/>
      <c r="I2" s="3"/>
      <c r="J2" s="3"/>
      <c r="K2" s="3"/>
      <c r="L2" s="3"/>
      <c r="M2" s="3"/>
      <c r="N2" s="3"/>
      <c r="O2" s="3"/>
      <c r="P2" s="3"/>
      <c r="Q2" s="3"/>
      <c r="R2" s="3"/>
    </row>
    <row r="3" spans="1:18" x14ac:dyDescent="0.2">
      <c r="A3" s="1" t="s">
        <v>5</v>
      </c>
      <c r="B3" s="72">
        <v>11000</v>
      </c>
      <c r="C3" s="63">
        <v>11000</v>
      </c>
      <c r="D3" s="63">
        <v>63</v>
      </c>
      <c r="E3" s="63">
        <v>693</v>
      </c>
      <c r="F3" s="64">
        <v>18.860222077073807</v>
      </c>
      <c r="H3" s="3"/>
      <c r="I3" s="3"/>
      <c r="J3" s="3"/>
      <c r="K3" s="3"/>
      <c r="L3" s="3"/>
      <c r="M3" s="3"/>
      <c r="N3" s="3"/>
      <c r="O3" s="3"/>
      <c r="P3" s="3"/>
      <c r="Q3" s="3"/>
      <c r="R3" s="3"/>
    </row>
    <row r="4" spans="1:18" x14ac:dyDescent="0.2">
      <c r="A4" s="1" t="s">
        <v>6</v>
      </c>
      <c r="B4" s="72">
        <v>53000</v>
      </c>
      <c r="C4" s="63">
        <v>53000</v>
      </c>
      <c r="D4" s="63">
        <v>77</v>
      </c>
      <c r="E4" s="63">
        <v>4081</v>
      </c>
      <c r="F4" s="64">
        <v>111.06575223165687</v>
      </c>
      <c r="H4" s="3"/>
      <c r="I4" s="3"/>
      <c r="J4" s="3"/>
      <c r="K4" s="3"/>
      <c r="L4" s="3"/>
      <c r="M4" s="3"/>
      <c r="N4" s="3"/>
      <c r="O4" s="3"/>
      <c r="P4" s="3"/>
      <c r="Q4" s="3"/>
      <c r="R4" s="3"/>
    </row>
    <row r="5" spans="1:18" x14ac:dyDescent="0.2">
      <c r="A5" s="1" t="s">
        <v>7</v>
      </c>
      <c r="B5" s="72">
        <v>20000</v>
      </c>
      <c r="C5" s="63">
        <v>20000</v>
      </c>
      <c r="D5" s="63">
        <v>67</v>
      </c>
      <c r="E5" s="63">
        <v>1340</v>
      </c>
      <c r="F5" s="64">
        <v>36.468539081210537</v>
      </c>
      <c r="H5" s="3"/>
      <c r="I5" s="3"/>
      <c r="J5" s="3"/>
      <c r="K5" s="3"/>
      <c r="L5" s="3"/>
      <c r="M5" s="3"/>
      <c r="N5" s="3"/>
      <c r="O5" s="3"/>
      <c r="P5" s="3"/>
      <c r="Q5" s="3"/>
      <c r="R5" s="3"/>
    </row>
    <row r="6" spans="1:18" x14ac:dyDescent="0.2">
      <c r="A6" s="1" t="s">
        <v>8</v>
      </c>
      <c r="B6" s="72">
        <v>28000</v>
      </c>
      <c r="C6" s="63">
        <v>28000</v>
      </c>
      <c r="D6" s="63">
        <v>69</v>
      </c>
      <c r="E6" s="63">
        <v>1932</v>
      </c>
      <c r="F6" s="64">
        <v>52.580013063357285</v>
      </c>
      <c r="H6" s="3"/>
      <c r="I6" s="3"/>
      <c r="J6" s="3"/>
      <c r="K6" s="3"/>
      <c r="L6" s="3"/>
      <c r="M6" s="3"/>
      <c r="N6" s="3"/>
      <c r="O6" s="3"/>
      <c r="P6" s="3"/>
      <c r="Q6" s="3"/>
      <c r="R6" s="3"/>
    </row>
    <row r="7" spans="1:18" x14ac:dyDescent="0.2">
      <c r="A7" s="1" t="s">
        <v>9</v>
      </c>
      <c r="B7" s="72">
        <v>11000</v>
      </c>
      <c r="C7" s="63">
        <v>11000</v>
      </c>
      <c r="D7" s="63">
        <v>52</v>
      </c>
      <c r="E7" s="63">
        <v>572</v>
      </c>
      <c r="F7" s="64">
        <v>15.567167428695841</v>
      </c>
      <c r="H7" s="3"/>
      <c r="I7" s="3"/>
      <c r="J7" s="3"/>
      <c r="K7" s="3"/>
      <c r="L7" s="3"/>
      <c r="M7" s="3"/>
      <c r="N7" s="3"/>
      <c r="O7" s="3"/>
      <c r="P7" s="3"/>
      <c r="Q7" s="3"/>
      <c r="R7" s="3"/>
    </row>
    <row r="8" spans="1:18" x14ac:dyDescent="0.2">
      <c r="A8" s="1" t="s">
        <v>10</v>
      </c>
      <c r="B8" s="72">
        <v>4000</v>
      </c>
      <c r="C8" s="63">
        <v>4000</v>
      </c>
      <c r="D8" s="63">
        <v>63</v>
      </c>
      <c r="E8" s="63">
        <v>252</v>
      </c>
      <c r="F8" s="64">
        <v>6.8582625734813849</v>
      </c>
      <c r="H8" s="3"/>
      <c r="I8" s="3"/>
      <c r="J8" s="3"/>
      <c r="K8" s="3"/>
      <c r="L8" s="3"/>
      <c r="M8" s="3"/>
      <c r="N8" s="3"/>
      <c r="O8" s="3"/>
      <c r="P8" s="3"/>
      <c r="Q8" s="3"/>
      <c r="R8" s="3"/>
    </row>
    <row r="9" spans="1:18" x14ac:dyDescent="0.2">
      <c r="A9" s="1" t="s">
        <v>11</v>
      </c>
      <c r="B9" s="72">
        <v>40000</v>
      </c>
      <c r="C9" s="63">
        <v>40000</v>
      </c>
      <c r="D9" s="63">
        <v>69</v>
      </c>
      <c r="E9" s="63">
        <v>2760</v>
      </c>
      <c r="F9" s="64">
        <v>75.114304376224695</v>
      </c>
      <c r="H9" s="3"/>
      <c r="I9" s="3"/>
      <c r="J9" s="3"/>
      <c r="K9" s="3"/>
      <c r="L9" s="3"/>
      <c r="M9" s="3"/>
      <c r="N9" s="3"/>
      <c r="O9" s="3"/>
      <c r="P9" s="3"/>
      <c r="Q9" s="3"/>
      <c r="R9" s="3"/>
    </row>
    <row r="10" spans="1:18" x14ac:dyDescent="0.2">
      <c r="A10" s="1" t="s">
        <v>12</v>
      </c>
      <c r="B10" s="72">
        <v>40000</v>
      </c>
      <c r="C10" s="63">
        <v>40000</v>
      </c>
      <c r="D10" s="63">
        <v>77</v>
      </c>
      <c r="E10" s="63">
        <v>3080</v>
      </c>
      <c r="F10" s="64">
        <v>83.823209231439151</v>
      </c>
      <c r="H10" s="3"/>
      <c r="I10" s="3"/>
      <c r="J10" s="3"/>
      <c r="K10" s="3"/>
      <c r="L10" s="3"/>
      <c r="M10" s="3"/>
      <c r="N10" s="3"/>
      <c r="O10" s="3"/>
      <c r="P10" s="3"/>
      <c r="Q10" s="3"/>
      <c r="R10" s="3"/>
    </row>
    <row r="11" spans="1:18" x14ac:dyDescent="0.2">
      <c r="A11" s="1" t="s">
        <v>13</v>
      </c>
      <c r="B11" s="72">
        <v>4500</v>
      </c>
      <c r="C11" s="63">
        <v>4500</v>
      </c>
      <c r="D11" s="63">
        <v>40</v>
      </c>
      <c r="E11" s="63">
        <v>180</v>
      </c>
      <c r="F11" s="64">
        <v>4.8987589810581316</v>
      </c>
      <c r="H11" s="3"/>
      <c r="I11" s="3"/>
      <c r="J11" s="3"/>
      <c r="K11" s="3"/>
      <c r="L11" s="3"/>
      <c r="M11" s="3"/>
      <c r="N11" s="3"/>
      <c r="O11" s="3"/>
      <c r="P11" s="3"/>
      <c r="Q11" s="3"/>
      <c r="R11" s="3"/>
    </row>
    <row r="12" spans="1:18" x14ac:dyDescent="0.2">
      <c r="A12" s="1" t="s">
        <v>14</v>
      </c>
      <c r="B12" s="72">
        <v>31000</v>
      </c>
      <c r="C12" s="63">
        <v>31000</v>
      </c>
      <c r="D12" s="63">
        <v>81</v>
      </c>
      <c r="E12" s="63">
        <v>2511</v>
      </c>
      <c r="F12" s="64">
        <v>68.337687785760934</v>
      </c>
      <c r="H12" s="3"/>
      <c r="I12" s="3"/>
      <c r="J12" s="3"/>
      <c r="K12" s="3"/>
      <c r="L12" s="3"/>
      <c r="M12" s="3"/>
      <c r="N12" s="3"/>
      <c r="O12" s="3"/>
      <c r="P12" s="3"/>
      <c r="Q12" s="3"/>
      <c r="R12" s="3"/>
    </row>
    <row r="13" spans="1:18" ht="15" x14ac:dyDescent="0.25">
      <c r="A13" s="23" t="s">
        <v>15</v>
      </c>
      <c r="B13" s="67">
        <v>242500</v>
      </c>
      <c r="C13" s="67">
        <v>242500</v>
      </c>
      <c r="D13" s="68">
        <v>71.756701030927829</v>
      </c>
      <c r="E13" s="67">
        <v>17401</v>
      </c>
      <c r="F13" s="68">
        <v>473.57391682995865</v>
      </c>
      <c r="G13" s="23"/>
      <c r="H13" s="3"/>
      <c r="I13" s="3"/>
      <c r="J13" s="3"/>
      <c r="K13" s="3"/>
      <c r="L13" s="3"/>
      <c r="M13" s="3"/>
      <c r="N13" s="3"/>
      <c r="O13" s="3"/>
      <c r="P13" s="3"/>
      <c r="Q13" s="3"/>
      <c r="R13" s="3"/>
    </row>
    <row r="14" spans="1:18" x14ac:dyDescent="0.2">
      <c r="A14" s="1" t="s">
        <v>16</v>
      </c>
      <c r="B14" s="72">
        <v>26000</v>
      </c>
      <c r="C14" s="63">
        <v>26000</v>
      </c>
      <c r="D14" s="63">
        <v>76</v>
      </c>
      <c r="E14" s="63">
        <v>1976</v>
      </c>
      <c r="F14" s="64">
        <v>53.777487480949269</v>
      </c>
      <c r="H14" s="3"/>
      <c r="I14" s="3"/>
      <c r="J14" s="3"/>
      <c r="K14" s="3"/>
      <c r="L14" s="3"/>
      <c r="M14" s="3"/>
      <c r="N14" s="3"/>
      <c r="O14" s="3"/>
      <c r="P14" s="3"/>
      <c r="Q14" s="3"/>
      <c r="R14" s="3"/>
    </row>
    <row r="15" spans="1:18" x14ac:dyDescent="0.2">
      <c r="A15" s="1" t="s">
        <v>17</v>
      </c>
      <c r="B15" s="72">
        <v>6600</v>
      </c>
      <c r="C15" s="63">
        <v>6600</v>
      </c>
      <c r="D15" s="63">
        <v>71</v>
      </c>
      <c r="E15" s="63">
        <v>468.6</v>
      </c>
      <c r="F15" s="64">
        <v>12.75310254735467</v>
      </c>
      <c r="H15" s="3"/>
      <c r="I15" s="3"/>
      <c r="J15" s="3"/>
      <c r="K15" s="3"/>
      <c r="L15" s="3"/>
      <c r="M15" s="3"/>
      <c r="N15" s="3"/>
      <c r="O15" s="3"/>
      <c r="P15" s="3"/>
      <c r="Q15" s="3"/>
      <c r="R15" s="3"/>
    </row>
    <row r="16" spans="1:18" x14ac:dyDescent="0.2">
      <c r="A16" s="1" t="s">
        <v>18</v>
      </c>
      <c r="B16" s="72">
        <v>7000</v>
      </c>
      <c r="C16" s="63">
        <v>7000</v>
      </c>
      <c r="D16" s="63">
        <v>70</v>
      </c>
      <c r="E16" s="63">
        <v>490</v>
      </c>
      <c r="F16" s="64">
        <v>13.335510559547137</v>
      </c>
      <c r="H16" s="3"/>
      <c r="I16" s="3"/>
      <c r="J16" s="3"/>
      <c r="K16" s="3"/>
      <c r="L16" s="3"/>
      <c r="M16" s="3"/>
      <c r="N16" s="3"/>
      <c r="O16" s="3"/>
      <c r="P16" s="3"/>
      <c r="Q16" s="3"/>
      <c r="R16" s="3"/>
    </row>
    <row r="17" spans="1:18" x14ac:dyDescent="0.2">
      <c r="A17" s="1" t="s">
        <v>19</v>
      </c>
      <c r="B17" s="72">
        <v>5900</v>
      </c>
      <c r="C17" s="63">
        <v>5900</v>
      </c>
      <c r="D17" s="63">
        <v>65</v>
      </c>
      <c r="E17" s="63">
        <v>383.5</v>
      </c>
      <c r="F17" s="64">
        <v>10.437078162421075</v>
      </c>
      <c r="H17" s="3"/>
      <c r="I17" s="3"/>
      <c r="J17" s="3"/>
      <c r="K17" s="3"/>
      <c r="L17" s="3"/>
      <c r="M17" s="3"/>
      <c r="N17" s="3"/>
      <c r="O17" s="3"/>
      <c r="P17" s="3"/>
      <c r="Q17" s="3"/>
      <c r="R17" s="3"/>
    </row>
    <row r="18" spans="1:18" x14ac:dyDescent="0.2">
      <c r="A18" s="1" t="s">
        <v>20</v>
      </c>
      <c r="B18" s="72">
        <v>85000</v>
      </c>
      <c r="C18" s="63">
        <v>85000</v>
      </c>
      <c r="D18" s="63">
        <v>82</v>
      </c>
      <c r="E18" s="63">
        <v>6970</v>
      </c>
      <c r="F18" s="64">
        <v>189.69083387763988</v>
      </c>
      <c r="H18" s="3"/>
      <c r="I18" s="3"/>
      <c r="J18" s="3"/>
      <c r="K18" s="3"/>
      <c r="L18" s="3"/>
      <c r="M18" s="3"/>
      <c r="N18" s="3"/>
      <c r="O18" s="3"/>
      <c r="P18" s="3"/>
      <c r="Q18" s="3"/>
      <c r="R18" s="3"/>
    </row>
    <row r="19" spans="1:18" x14ac:dyDescent="0.2">
      <c r="A19" s="1" t="s">
        <v>21</v>
      </c>
      <c r="B19" s="72">
        <v>5600</v>
      </c>
      <c r="C19" s="63">
        <v>5600</v>
      </c>
      <c r="D19" s="63">
        <v>66</v>
      </c>
      <c r="E19" s="63">
        <v>369.6</v>
      </c>
      <c r="F19" s="64">
        <v>10.058785107772698</v>
      </c>
      <c r="H19" s="3"/>
      <c r="I19" s="3"/>
      <c r="J19" s="3"/>
      <c r="K19" s="3"/>
      <c r="L19" s="3"/>
      <c r="M19" s="3"/>
      <c r="N19" s="3"/>
      <c r="O19" s="3"/>
      <c r="P19" s="3"/>
      <c r="Q19" s="3"/>
      <c r="R19" s="3"/>
    </row>
    <row r="20" spans="1:18" x14ac:dyDescent="0.2">
      <c r="A20" s="1" t="s">
        <v>22</v>
      </c>
      <c r="B20" s="72">
        <v>51000</v>
      </c>
      <c r="C20" s="63">
        <v>51000</v>
      </c>
      <c r="D20" s="63">
        <v>87</v>
      </c>
      <c r="E20" s="63">
        <v>4437</v>
      </c>
      <c r="F20" s="64">
        <v>120.75440888308296</v>
      </c>
      <c r="H20" s="3"/>
      <c r="I20" s="3"/>
      <c r="J20" s="3"/>
      <c r="K20" s="3"/>
      <c r="L20" s="3"/>
      <c r="M20" s="3"/>
      <c r="N20" s="3"/>
      <c r="O20" s="3"/>
      <c r="P20" s="3"/>
      <c r="Q20" s="3"/>
      <c r="R20" s="3"/>
    </row>
    <row r="21" spans="1:18" x14ac:dyDescent="0.2">
      <c r="A21" s="1" t="s">
        <v>23</v>
      </c>
      <c r="B21" s="72">
        <v>40000</v>
      </c>
      <c r="C21" s="63">
        <v>40000</v>
      </c>
      <c r="D21" s="63">
        <v>75</v>
      </c>
      <c r="E21" s="63">
        <v>3000</v>
      </c>
      <c r="F21" s="64">
        <v>81.64598301763553</v>
      </c>
      <c r="H21" s="3"/>
      <c r="I21" s="3"/>
      <c r="J21" s="3"/>
      <c r="K21" s="3"/>
      <c r="L21" s="3"/>
      <c r="M21" s="3"/>
      <c r="N21" s="3"/>
      <c r="O21" s="3"/>
      <c r="P21" s="3"/>
      <c r="Q21" s="3"/>
      <c r="R21" s="3"/>
    </row>
    <row r="22" spans="1:18" x14ac:dyDescent="0.2">
      <c r="A22" s="1" t="s">
        <v>24</v>
      </c>
      <c r="B22" s="72">
        <v>11500</v>
      </c>
      <c r="C22" s="63">
        <v>11500</v>
      </c>
      <c r="D22" s="63">
        <v>74</v>
      </c>
      <c r="E22" s="63">
        <v>851</v>
      </c>
      <c r="F22" s="64">
        <v>23.160243849335945</v>
      </c>
      <c r="H22" s="3"/>
      <c r="I22" s="3"/>
      <c r="J22" s="3"/>
      <c r="K22" s="3"/>
      <c r="L22" s="3"/>
      <c r="M22" s="3"/>
      <c r="N22" s="3"/>
      <c r="O22" s="3"/>
      <c r="P22" s="3"/>
      <c r="Q22" s="3"/>
      <c r="R22" s="3"/>
    </row>
    <row r="23" spans="1:18" x14ac:dyDescent="0.2">
      <c r="A23" s="1" t="s">
        <v>25</v>
      </c>
      <c r="B23" s="72">
        <v>35000</v>
      </c>
      <c r="C23" s="63">
        <v>35000</v>
      </c>
      <c r="D23" s="63">
        <v>76</v>
      </c>
      <c r="E23" s="63">
        <v>2660</v>
      </c>
      <c r="F23" s="64">
        <v>72.392771608970179</v>
      </c>
      <c r="H23" s="3"/>
      <c r="I23" s="3"/>
      <c r="J23" s="3"/>
      <c r="K23" s="3"/>
      <c r="L23" s="3"/>
      <c r="M23" s="3"/>
      <c r="N23" s="3"/>
      <c r="O23" s="3"/>
      <c r="P23" s="3"/>
      <c r="Q23" s="3"/>
      <c r="R23" s="3"/>
    </row>
    <row r="24" spans="1:18" ht="15" x14ac:dyDescent="0.25">
      <c r="A24" s="23" t="s">
        <v>26</v>
      </c>
      <c r="B24" s="67">
        <v>273600</v>
      </c>
      <c r="C24" s="67">
        <v>273600</v>
      </c>
      <c r="D24" s="68">
        <v>78.968201754385959</v>
      </c>
      <c r="E24" s="67">
        <v>21605.7</v>
      </c>
      <c r="F24" s="68">
        <v>588.00620509470934</v>
      </c>
      <c r="G24" s="23"/>
      <c r="H24" s="3"/>
      <c r="I24" s="3"/>
      <c r="J24" s="3"/>
      <c r="K24" s="3"/>
      <c r="L24" s="3"/>
      <c r="M24" s="3"/>
      <c r="N24" s="3"/>
      <c r="O24" s="3"/>
      <c r="P24" s="3"/>
      <c r="Q24" s="3"/>
      <c r="R24" s="3"/>
    </row>
    <row r="25" spans="1:18" x14ac:dyDescent="0.2">
      <c r="A25" s="1" t="s">
        <v>27</v>
      </c>
      <c r="B25" s="72">
        <v>20000</v>
      </c>
      <c r="C25" s="63">
        <v>20000</v>
      </c>
      <c r="D25" s="63">
        <v>69</v>
      </c>
      <c r="E25" s="63">
        <v>1380</v>
      </c>
      <c r="F25" s="64">
        <v>37.557152188112347</v>
      </c>
      <c r="H25" s="3"/>
      <c r="I25" s="3"/>
      <c r="J25" s="3"/>
      <c r="K25" s="3"/>
      <c r="L25" s="3"/>
      <c r="M25" s="3"/>
      <c r="N25" s="3"/>
      <c r="O25" s="3"/>
      <c r="P25" s="3"/>
      <c r="Q25" s="3"/>
      <c r="R25" s="3"/>
    </row>
    <row r="26" spans="1:18" x14ac:dyDescent="0.2">
      <c r="A26" s="1" t="s">
        <v>28</v>
      </c>
      <c r="B26" s="72" t="s">
        <v>64</v>
      </c>
      <c r="C26" s="72" t="s">
        <v>64</v>
      </c>
      <c r="D26" s="72" t="s">
        <v>64</v>
      </c>
      <c r="E26" s="69" t="s">
        <v>64</v>
      </c>
      <c r="F26" s="69" t="s">
        <v>64</v>
      </c>
      <c r="H26" s="3"/>
      <c r="I26" s="3"/>
      <c r="J26" s="3"/>
      <c r="K26" s="3"/>
      <c r="L26" s="3"/>
      <c r="M26" s="3"/>
      <c r="N26" s="3"/>
      <c r="O26" s="3"/>
      <c r="P26" s="3"/>
      <c r="Q26" s="3"/>
      <c r="R26" s="3"/>
    </row>
    <row r="27" spans="1:18" x14ac:dyDescent="0.2">
      <c r="A27" s="1" t="s">
        <v>29</v>
      </c>
      <c r="B27" s="72">
        <v>3800</v>
      </c>
      <c r="C27" s="63">
        <v>3800</v>
      </c>
      <c r="D27" s="63">
        <v>58</v>
      </c>
      <c r="E27" s="63">
        <v>220.4</v>
      </c>
      <c r="F27" s="64">
        <v>5.9982582190289575</v>
      </c>
      <c r="H27" s="3"/>
      <c r="I27" s="3"/>
      <c r="J27" s="3"/>
      <c r="K27" s="3"/>
      <c r="L27" s="3"/>
      <c r="M27" s="3"/>
      <c r="N27" s="3"/>
      <c r="O27" s="3"/>
      <c r="P27" s="3"/>
      <c r="Q27" s="3"/>
      <c r="R27" s="3"/>
    </row>
    <row r="28" spans="1:18" x14ac:dyDescent="0.2">
      <c r="A28" s="1" t="s">
        <v>30</v>
      </c>
      <c r="B28" s="72">
        <v>11000</v>
      </c>
      <c r="C28" s="63">
        <v>11000</v>
      </c>
      <c r="D28" s="63">
        <v>62</v>
      </c>
      <c r="E28" s="63">
        <v>682</v>
      </c>
      <c r="F28" s="64">
        <v>18.560853472675809</v>
      </c>
      <c r="H28" s="3"/>
      <c r="I28" s="3"/>
      <c r="J28" s="3"/>
      <c r="K28" s="3"/>
      <c r="L28" s="3"/>
      <c r="M28" s="3"/>
      <c r="N28" s="3"/>
      <c r="O28" s="3"/>
      <c r="P28" s="3"/>
      <c r="Q28" s="3"/>
      <c r="R28" s="3"/>
    </row>
    <row r="29" spans="1:18" x14ac:dyDescent="0.2">
      <c r="A29" s="1" t="s">
        <v>31</v>
      </c>
      <c r="B29" s="72" t="s">
        <v>64</v>
      </c>
      <c r="C29" s="72" t="s">
        <v>64</v>
      </c>
      <c r="D29" s="72" t="s">
        <v>64</v>
      </c>
      <c r="E29" s="69" t="s">
        <v>64</v>
      </c>
      <c r="F29" s="69" t="s">
        <v>64</v>
      </c>
      <c r="H29" s="3"/>
      <c r="I29" s="3"/>
      <c r="J29" s="3"/>
      <c r="K29" s="3"/>
      <c r="L29" s="3"/>
      <c r="M29" s="3"/>
      <c r="N29" s="3"/>
      <c r="O29" s="3"/>
      <c r="P29" s="3"/>
      <c r="Q29" s="3"/>
      <c r="R29" s="3"/>
    </row>
    <row r="30" spans="1:18" x14ac:dyDescent="0.2">
      <c r="A30" s="1" t="s">
        <v>32</v>
      </c>
      <c r="B30" s="72">
        <v>12000</v>
      </c>
      <c r="C30" s="63">
        <v>12000</v>
      </c>
      <c r="D30" s="63">
        <v>60</v>
      </c>
      <c r="E30" s="63">
        <v>720</v>
      </c>
      <c r="F30" s="64">
        <v>19.595035924232526</v>
      </c>
      <c r="H30" s="3"/>
      <c r="I30" s="3"/>
      <c r="J30" s="3"/>
      <c r="K30" s="3"/>
      <c r="L30" s="3"/>
      <c r="M30" s="3"/>
      <c r="N30" s="3"/>
      <c r="O30" s="3"/>
      <c r="P30" s="3"/>
      <c r="Q30" s="3"/>
      <c r="R30" s="3"/>
    </row>
    <row r="31" spans="1:18" x14ac:dyDescent="0.2">
      <c r="A31" s="1" t="s">
        <v>33</v>
      </c>
      <c r="B31" s="72" t="s">
        <v>64</v>
      </c>
      <c r="C31" s="72" t="s">
        <v>64</v>
      </c>
      <c r="D31" s="72" t="s">
        <v>64</v>
      </c>
      <c r="E31" s="69" t="s">
        <v>64</v>
      </c>
      <c r="F31" s="69" t="s">
        <v>64</v>
      </c>
      <c r="H31" s="3"/>
      <c r="I31" s="3"/>
      <c r="J31" s="3"/>
      <c r="K31" s="3"/>
      <c r="L31" s="3"/>
      <c r="M31" s="3"/>
      <c r="N31" s="3"/>
      <c r="O31" s="3"/>
      <c r="P31" s="3"/>
      <c r="Q31" s="3"/>
      <c r="R31" s="3"/>
    </row>
    <row r="32" spans="1:18" x14ac:dyDescent="0.2">
      <c r="A32" s="1" t="s">
        <v>34</v>
      </c>
      <c r="B32" s="72">
        <v>4100</v>
      </c>
      <c r="C32" s="63">
        <v>4100</v>
      </c>
      <c r="D32" s="63">
        <v>53</v>
      </c>
      <c r="E32" s="63">
        <v>217.3</v>
      </c>
      <c r="F32" s="64">
        <v>5.9138907032440677</v>
      </c>
      <c r="H32" s="3"/>
      <c r="I32" s="3"/>
      <c r="J32" s="3"/>
      <c r="K32" s="3"/>
      <c r="L32" s="3"/>
      <c r="M32" s="3"/>
      <c r="N32" s="3"/>
      <c r="O32" s="3"/>
      <c r="P32" s="3"/>
      <c r="Q32" s="3"/>
      <c r="R32" s="3"/>
    </row>
    <row r="33" spans="1:18" x14ac:dyDescent="0.2">
      <c r="A33" s="1" t="s">
        <v>35</v>
      </c>
      <c r="B33" s="72">
        <v>9500</v>
      </c>
      <c r="C33" s="63">
        <v>9500</v>
      </c>
      <c r="D33" s="63">
        <v>56</v>
      </c>
      <c r="E33" s="63">
        <v>532</v>
      </c>
      <c r="F33" s="64">
        <v>14.478554321794034</v>
      </c>
      <c r="H33" s="3"/>
      <c r="I33" s="3"/>
      <c r="J33" s="3"/>
      <c r="K33" s="3"/>
      <c r="L33" s="3"/>
      <c r="M33" s="3"/>
      <c r="N33" s="3"/>
      <c r="O33" s="3"/>
      <c r="P33" s="3"/>
      <c r="Q33" s="3"/>
      <c r="R33" s="3"/>
    </row>
    <row r="34" spans="1:18" x14ac:dyDescent="0.2">
      <c r="A34" s="1" t="s">
        <v>36</v>
      </c>
      <c r="B34" s="72">
        <v>7000</v>
      </c>
      <c r="C34" s="63">
        <v>7000</v>
      </c>
      <c r="D34" s="63">
        <v>57</v>
      </c>
      <c r="E34" s="63">
        <v>399</v>
      </c>
      <c r="F34" s="64">
        <v>10.858915741345525</v>
      </c>
      <c r="H34" s="3"/>
      <c r="I34" s="3"/>
      <c r="J34" s="3"/>
      <c r="K34" s="3"/>
      <c r="L34" s="3"/>
      <c r="M34" s="3"/>
      <c r="N34" s="3"/>
      <c r="O34" s="3"/>
      <c r="P34" s="3"/>
      <c r="Q34" s="3"/>
      <c r="R34" s="3"/>
    </row>
    <row r="35" spans="1:18" ht="15" x14ac:dyDescent="0.25">
      <c r="A35" s="23" t="s">
        <v>37</v>
      </c>
      <c r="B35" s="65">
        <v>67400</v>
      </c>
      <c r="C35" s="65">
        <v>67400</v>
      </c>
      <c r="D35" s="68">
        <v>61.58308605341248</v>
      </c>
      <c r="E35" s="67">
        <v>4150.7000000000007</v>
      </c>
      <c r="F35" s="68">
        <v>112.96266057043329</v>
      </c>
      <c r="G35" s="23"/>
      <c r="H35" s="3"/>
      <c r="I35" s="3"/>
      <c r="J35" s="3"/>
      <c r="K35" s="3"/>
      <c r="L35" s="3"/>
      <c r="M35" s="3"/>
      <c r="N35" s="3"/>
      <c r="O35" s="3"/>
      <c r="P35" s="3"/>
      <c r="Q35" s="3"/>
      <c r="R35" s="3"/>
    </row>
    <row r="36" spans="1:18" x14ac:dyDescent="0.2">
      <c r="A36" s="1" t="s">
        <v>38</v>
      </c>
      <c r="B36" s="72" t="s">
        <v>64</v>
      </c>
      <c r="C36" s="72" t="s">
        <v>64</v>
      </c>
      <c r="D36" s="72" t="s">
        <v>64</v>
      </c>
      <c r="E36" s="69" t="s">
        <v>64</v>
      </c>
      <c r="F36" s="69" t="s">
        <v>64</v>
      </c>
      <c r="H36" s="3"/>
      <c r="I36" s="3"/>
      <c r="J36" s="3"/>
      <c r="K36" s="3"/>
      <c r="L36" s="3"/>
      <c r="M36" s="3"/>
      <c r="N36" s="3"/>
      <c r="O36" s="3"/>
      <c r="P36" s="3"/>
      <c r="Q36" s="3"/>
      <c r="R36" s="3"/>
    </row>
    <row r="37" spans="1:18" x14ac:dyDescent="0.2">
      <c r="A37" s="1" t="s">
        <v>39</v>
      </c>
      <c r="B37" s="72" t="s">
        <v>64</v>
      </c>
      <c r="C37" s="72" t="s">
        <v>64</v>
      </c>
      <c r="D37" s="72" t="s">
        <v>64</v>
      </c>
      <c r="E37" s="69" t="s">
        <v>64</v>
      </c>
      <c r="F37" s="69" t="s">
        <v>64</v>
      </c>
      <c r="H37" s="3"/>
      <c r="I37" s="3"/>
      <c r="J37" s="3"/>
      <c r="K37" s="3"/>
      <c r="L37" s="3"/>
      <c r="M37" s="3"/>
      <c r="N37" s="3"/>
      <c r="O37" s="3"/>
      <c r="P37" s="3"/>
      <c r="Q37" s="3"/>
      <c r="R37" s="3"/>
    </row>
    <row r="38" spans="1:18" x14ac:dyDescent="0.2">
      <c r="A38" s="1" t="s">
        <v>40</v>
      </c>
      <c r="B38" s="72" t="s">
        <v>64</v>
      </c>
      <c r="C38" s="72" t="s">
        <v>64</v>
      </c>
      <c r="D38" s="72" t="s">
        <v>64</v>
      </c>
      <c r="E38" s="69" t="s">
        <v>64</v>
      </c>
      <c r="F38" s="69" t="s">
        <v>64</v>
      </c>
      <c r="H38" s="3"/>
      <c r="I38" s="3"/>
      <c r="J38" s="3"/>
      <c r="K38" s="3"/>
      <c r="L38" s="3"/>
      <c r="M38" s="3"/>
      <c r="N38" s="3"/>
      <c r="O38" s="3"/>
      <c r="P38" s="3"/>
      <c r="Q38" s="3"/>
      <c r="R38" s="3"/>
    </row>
    <row r="39" spans="1:18" x14ac:dyDescent="0.2">
      <c r="A39" s="1" t="s">
        <v>41</v>
      </c>
      <c r="B39" s="72">
        <v>3600</v>
      </c>
      <c r="C39" s="63">
        <v>3600</v>
      </c>
      <c r="D39" s="63">
        <v>55</v>
      </c>
      <c r="E39" s="63">
        <v>198</v>
      </c>
      <c r="F39" s="64">
        <v>5.3886348791639449</v>
      </c>
      <c r="H39" s="3"/>
      <c r="I39" s="3"/>
      <c r="J39" s="3"/>
      <c r="K39" s="3"/>
      <c r="L39" s="3"/>
      <c r="M39" s="3"/>
      <c r="N39" s="3"/>
      <c r="O39" s="3"/>
      <c r="P39" s="3"/>
      <c r="Q39" s="3"/>
      <c r="R39" s="3"/>
    </row>
    <row r="40" spans="1:18" x14ac:dyDescent="0.2">
      <c r="A40" s="1" t="s">
        <v>42</v>
      </c>
      <c r="B40" s="72" t="s">
        <v>64</v>
      </c>
      <c r="C40" s="72" t="s">
        <v>64</v>
      </c>
      <c r="D40" s="72" t="s">
        <v>64</v>
      </c>
      <c r="E40" s="69" t="s">
        <v>64</v>
      </c>
      <c r="F40" s="69" t="s">
        <v>64</v>
      </c>
      <c r="H40" s="3"/>
      <c r="I40" s="3"/>
      <c r="J40" s="3"/>
      <c r="K40" s="3"/>
      <c r="L40" s="3"/>
      <c r="M40" s="3"/>
      <c r="N40" s="3"/>
      <c r="O40" s="3"/>
      <c r="P40" s="3"/>
      <c r="Q40" s="3"/>
      <c r="R40" s="3"/>
    </row>
    <row r="41" spans="1:18" x14ac:dyDescent="0.2">
      <c r="A41" s="1" t="s">
        <v>43</v>
      </c>
      <c r="B41" s="72" t="s">
        <v>64</v>
      </c>
      <c r="C41" s="72" t="s">
        <v>64</v>
      </c>
      <c r="D41" s="72" t="s">
        <v>64</v>
      </c>
      <c r="E41" s="69" t="s">
        <v>64</v>
      </c>
      <c r="F41" s="69" t="s">
        <v>64</v>
      </c>
      <c r="H41" s="3"/>
      <c r="I41" s="3"/>
      <c r="J41" s="3"/>
      <c r="K41" s="3"/>
      <c r="L41" s="3"/>
      <c r="M41" s="3"/>
      <c r="N41" s="3"/>
      <c r="O41" s="3"/>
      <c r="P41" s="3"/>
      <c r="Q41" s="3"/>
      <c r="R41" s="3"/>
    </row>
    <row r="42" spans="1:18" x14ac:dyDescent="0.2">
      <c r="A42" s="1" t="s">
        <v>44</v>
      </c>
      <c r="B42" s="72" t="s">
        <v>64</v>
      </c>
      <c r="C42" s="72" t="s">
        <v>64</v>
      </c>
      <c r="D42" s="72" t="s">
        <v>64</v>
      </c>
      <c r="E42" s="69" t="s">
        <v>64</v>
      </c>
      <c r="F42" s="69" t="s">
        <v>64</v>
      </c>
      <c r="H42" s="3"/>
      <c r="I42" s="3"/>
      <c r="J42" s="3"/>
      <c r="K42" s="3"/>
      <c r="L42" s="3"/>
      <c r="M42" s="3"/>
      <c r="N42" s="3"/>
      <c r="O42" s="3"/>
      <c r="P42" s="3"/>
      <c r="Q42" s="3"/>
      <c r="R42" s="3"/>
    </row>
    <row r="43" spans="1:18" x14ac:dyDescent="0.2">
      <c r="A43" s="1" t="s">
        <v>45</v>
      </c>
      <c r="B43" s="72" t="s">
        <v>64</v>
      </c>
      <c r="C43" s="72" t="s">
        <v>64</v>
      </c>
      <c r="D43" s="72" t="s">
        <v>64</v>
      </c>
      <c r="E43" s="69" t="s">
        <v>64</v>
      </c>
      <c r="F43" s="69" t="s">
        <v>64</v>
      </c>
      <c r="H43" s="3"/>
      <c r="I43" s="3"/>
      <c r="J43" s="3"/>
      <c r="K43" s="3"/>
      <c r="L43" s="3"/>
      <c r="M43" s="3"/>
      <c r="N43" s="3"/>
      <c r="O43" s="3"/>
      <c r="P43" s="3"/>
      <c r="Q43" s="3"/>
      <c r="R43" s="3"/>
    </row>
    <row r="44" spans="1:18" ht="15" x14ac:dyDescent="0.25">
      <c r="A44" s="23" t="s">
        <v>46</v>
      </c>
      <c r="B44" s="25">
        <v>6500</v>
      </c>
      <c r="C44" s="67">
        <v>6500</v>
      </c>
      <c r="D44" s="68">
        <v>56.769230769230766</v>
      </c>
      <c r="E44" s="65">
        <v>369</v>
      </c>
      <c r="F44" s="68">
        <v>10.042455911169171</v>
      </c>
      <c r="G44" s="23"/>
      <c r="H44" s="3"/>
      <c r="I44" s="3"/>
      <c r="J44" s="3"/>
      <c r="K44" s="3"/>
      <c r="L44" s="3"/>
      <c r="M44" s="3"/>
      <c r="N44" s="3"/>
      <c r="O44" s="3"/>
      <c r="P44" s="3"/>
      <c r="Q44" s="3"/>
      <c r="R44" s="3"/>
    </row>
    <row r="45" spans="1:18" x14ac:dyDescent="0.2">
      <c r="A45" s="1" t="s">
        <v>47</v>
      </c>
      <c r="B45" s="72" t="s">
        <v>64</v>
      </c>
      <c r="C45" s="72" t="s">
        <v>64</v>
      </c>
      <c r="D45" s="72" t="s">
        <v>64</v>
      </c>
      <c r="E45" s="69" t="s">
        <v>64</v>
      </c>
      <c r="F45" s="69" t="s">
        <v>64</v>
      </c>
      <c r="H45" s="3"/>
      <c r="I45" s="3"/>
      <c r="J45" s="3"/>
      <c r="K45" s="3"/>
      <c r="L45" s="3"/>
      <c r="M45" s="3"/>
      <c r="N45" s="3"/>
      <c r="O45" s="3"/>
      <c r="P45" s="3"/>
      <c r="Q45" s="3"/>
      <c r="R45" s="3"/>
    </row>
    <row r="46" spans="1:18" x14ac:dyDescent="0.2">
      <c r="A46" s="1" t="s">
        <v>48</v>
      </c>
      <c r="B46" s="72" t="s">
        <v>64</v>
      </c>
      <c r="C46" s="72" t="s">
        <v>64</v>
      </c>
      <c r="D46" s="72" t="s">
        <v>64</v>
      </c>
      <c r="E46" s="69" t="s">
        <v>64</v>
      </c>
      <c r="F46" s="69" t="s">
        <v>64</v>
      </c>
      <c r="H46" s="3"/>
      <c r="I46" s="3"/>
      <c r="J46" s="3"/>
      <c r="K46" s="3"/>
      <c r="L46" s="3"/>
      <c r="M46" s="3"/>
      <c r="N46" s="3"/>
      <c r="O46" s="3"/>
      <c r="P46" s="3"/>
      <c r="Q46" s="3"/>
      <c r="R46" s="3"/>
    </row>
    <row r="47" spans="1:18" x14ac:dyDescent="0.2">
      <c r="A47" s="24" t="s">
        <v>49</v>
      </c>
      <c r="B47" s="72" t="s">
        <v>64</v>
      </c>
      <c r="C47" s="72" t="s">
        <v>64</v>
      </c>
      <c r="D47" s="72" t="s">
        <v>64</v>
      </c>
      <c r="E47" s="69" t="s">
        <v>64</v>
      </c>
      <c r="F47" s="69" t="s">
        <v>64</v>
      </c>
      <c r="G47" s="24"/>
      <c r="H47" s="3"/>
      <c r="I47" s="3"/>
      <c r="J47" s="3"/>
      <c r="K47" s="3"/>
      <c r="L47" s="3"/>
      <c r="M47" s="3"/>
      <c r="N47" s="3"/>
      <c r="O47" s="3"/>
      <c r="P47" s="3"/>
      <c r="Q47" s="3"/>
      <c r="R47" s="3"/>
    </row>
    <row r="48" spans="1:18" x14ac:dyDescent="0.2">
      <c r="A48" s="1" t="s">
        <v>50</v>
      </c>
      <c r="B48" s="72" t="s">
        <v>64</v>
      </c>
      <c r="C48" s="72" t="s">
        <v>64</v>
      </c>
      <c r="D48" s="72" t="s">
        <v>64</v>
      </c>
      <c r="E48" s="69" t="s">
        <v>64</v>
      </c>
      <c r="F48" s="69" t="s">
        <v>64</v>
      </c>
      <c r="H48" s="3"/>
      <c r="I48" s="3"/>
      <c r="J48" s="3"/>
      <c r="K48" s="3"/>
      <c r="L48" s="3"/>
      <c r="M48" s="3"/>
      <c r="N48" s="3"/>
      <c r="O48" s="3"/>
      <c r="P48" s="3"/>
      <c r="Q48" s="3"/>
      <c r="R48" s="3"/>
    </row>
    <row r="49" spans="1:18" x14ac:dyDescent="0.2">
      <c r="A49" s="1" t="s">
        <v>51</v>
      </c>
      <c r="B49" s="72" t="s">
        <v>64</v>
      </c>
      <c r="C49" s="72" t="s">
        <v>64</v>
      </c>
      <c r="D49" s="72" t="s">
        <v>64</v>
      </c>
      <c r="E49" s="69" t="s">
        <v>64</v>
      </c>
      <c r="F49" s="69" t="s">
        <v>64</v>
      </c>
      <c r="H49" s="3"/>
      <c r="I49" s="3"/>
      <c r="J49" s="3"/>
      <c r="K49" s="3"/>
      <c r="L49" s="3"/>
      <c r="M49" s="3"/>
      <c r="N49" s="3"/>
      <c r="O49" s="3"/>
      <c r="P49" s="3"/>
      <c r="Q49" s="3"/>
      <c r="R49" s="3"/>
    </row>
    <row r="50" spans="1:18" x14ac:dyDescent="0.2">
      <c r="A50" s="1" t="s">
        <v>52</v>
      </c>
      <c r="B50" s="72" t="s">
        <v>64</v>
      </c>
      <c r="C50" s="72" t="s">
        <v>64</v>
      </c>
      <c r="D50" s="72" t="s">
        <v>64</v>
      </c>
      <c r="E50" s="69" t="s">
        <v>64</v>
      </c>
      <c r="F50" s="69" t="s">
        <v>64</v>
      </c>
      <c r="H50" s="3"/>
      <c r="I50" s="3"/>
      <c r="J50" s="3"/>
      <c r="K50" s="3"/>
      <c r="L50" s="3"/>
      <c r="M50" s="3"/>
      <c r="N50" s="3"/>
      <c r="O50" s="3"/>
      <c r="P50" s="3"/>
      <c r="Q50" s="3"/>
      <c r="R50" s="3"/>
    </row>
    <row r="51" spans="1:18" x14ac:dyDescent="0.2">
      <c r="A51" s="1" t="s">
        <v>53</v>
      </c>
      <c r="B51" s="72" t="s">
        <v>64</v>
      </c>
      <c r="C51" s="72" t="s">
        <v>64</v>
      </c>
      <c r="D51" s="72" t="s">
        <v>64</v>
      </c>
      <c r="E51" s="69" t="s">
        <v>64</v>
      </c>
      <c r="F51" s="69" t="s">
        <v>64</v>
      </c>
      <c r="H51" s="3"/>
      <c r="I51" s="3"/>
      <c r="J51" s="3"/>
      <c r="K51" s="3"/>
      <c r="L51" s="3"/>
      <c r="M51" s="3"/>
      <c r="N51" s="3"/>
      <c r="O51" s="3"/>
      <c r="P51" s="3"/>
      <c r="Q51" s="3"/>
      <c r="R51" s="3"/>
    </row>
    <row r="52" spans="1:18" x14ac:dyDescent="0.2">
      <c r="A52" s="1" t="s">
        <v>54</v>
      </c>
      <c r="B52" s="72" t="s">
        <v>64</v>
      </c>
      <c r="C52" s="72" t="s">
        <v>64</v>
      </c>
      <c r="D52" s="72" t="s">
        <v>64</v>
      </c>
      <c r="E52" s="69" t="s">
        <v>64</v>
      </c>
      <c r="F52" s="69" t="s">
        <v>64</v>
      </c>
      <c r="H52" s="3"/>
      <c r="I52" s="3"/>
      <c r="J52" s="3"/>
      <c r="K52" s="3"/>
      <c r="L52" s="3"/>
      <c r="M52" s="3"/>
      <c r="N52" s="3"/>
      <c r="O52" s="3"/>
      <c r="P52" s="3"/>
      <c r="Q52" s="3"/>
      <c r="R52" s="3"/>
    </row>
    <row r="53" spans="1:18" x14ac:dyDescent="0.2">
      <c r="A53" s="1" t="s">
        <v>55</v>
      </c>
      <c r="B53" s="72" t="s">
        <v>64</v>
      </c>
      <c r="C53" s="72" t="s">
        <v>64</v>
      </c>
      <c r="D53" s="72" t="s">
        <v>64</v>
      </c>
      <c r="E53" s="69" t="s">
        <v>64</v>
      </c>
      <c r="F53" s="69" t="s">
        <v>64</v>
      </c>
      <c r="H53" s="3"/>
      <c r="I53" s="3"/>
      <c r="J53" s="3"/>
      <c r="K53" s="3"/>
      <c r="L53" s="3"/>
      <c r="M53" s="3"/>
      <c r="N53" s="3"/>
      <c r="O53" s="3"/>
      <c r="P53" s="3"/>
      <c r="Q53" s="3"/>
      <c r="R53" s="3"/>
    </row>
    <row r="54" spans="1:18" x14ac:dyDescent="0.2">
      <c r="A54" s="1" t="s">
        <v>56</v>
      </c>
      <c r="B54" s="72">
        <v>4000</v>
      </c>
      <c r="C54" s="63">
        <v>4000</v>
      </c>
      <c r="D54" s="63">
        <v>57</v>
      </c>
      <c r="E54" s="63">
        <v>228</v>
      </c>
      <c r="F54" s="64">
        <v>6.2050947093403002</v>
      </c>
      <c r="H54" s="3"/>
      <c r="I54" s="3"/>
      <c r="J54" s="3"/>
      <c r="K54" s="3"/>
      <c r="L54" s="3"/>
      <c r="M54" s="3"/>
      <c r="N54" s="3"/>
      <c r="O54" s="3"/>
      <c r="P54" s="3"/>
      <c r="Q54" s="3"/>
      <c r="R54" s="3"/>
    </row>
    <row r="55" spans="1:18" ht="15" x14ac:dyDescent="0.25">
      <c r="A55" s="23" t="s">
        <v>57</v>
      </c>
      <c r="B55" s="25">
        <v>5000</v>
      </c>
      <c r="C55" s="67">
        <v>5000</v>
      </c>
      <c r="D55" s="68">
        <v>54.8</v>
      </c>
      <c r="E55" s="65">
        <v>274</v>
      </c>
      <c r="F55" s="68">
        <v>7.4569997822773786</v>
      </c>
      <c r="G55" s="23"/>
      <c r="H55" s="3"/>
      <c r="I55" s="3"/>
      <c r="J55" s="3"/>
      <c r="K55" s="3"/>
      <c r="L55" s="3"/>
      <c r="M55" s="3"/>
      <c r="N55" s="3"/>
      <c r="O55" s="3"/>
      <c r="P55" s="3"/>
      <c r="Q55" s="3"/>
      <c r="R55" s="3"/>
    </row>
    <row r="56" spans="1:18" ht="15" x14ac:dyDescent="0.25">
      <c r="A56" s="17" t="s">
        <v>0</v>
      </c>
      <c r="B56" s="65">
        <v>595000</v>
      </c>
      <c r="C56" s="65">
        <v>595000</v>
      </c>
      <c r="D56" s="68">
        <v>73.614117647058805</v>
      </c>
      <c r="E56" s="65">
        <v>43800.399999999994</v>
      </c>
      <c r="F56" s="68">
        <v>1192.0422381885476</v>
      </c>
      <c r="G56" s="17"/>
      <c r="H56" s="3"/>
      <c r="I56" s="3"/>
      <c r="J56" s="3"/>
      <c r="K56" s="3"/>
      <c r="L56" s="3"/>
      <c r="M56" s="3"/>
      <c r="N56" s="3"/>
      <c r="O56" s="3"/>
      <c r="P56" s="3"/>
      <c r="Q56" s="3"/>
      <c r="R56" s="3"/>
    </row>
    <row r="57" spans="1:18" s="22" customFormat="1" x14ac:dyDescent="0.2">
      <c r="A57" s="20"/>
      <c r="B57" s="20"/>
      <c r="C57" s="16"/>
      <c r="D57" s="20"/>
      <c r="E57" s="15"/>
      <c r="F57" s="21"/>
      <c r="G57" s="20"/>
      <c r="H57" s="20"/>
      <c r="I57" s="20"/>
      <c r="J57" s="20"/>
      <c r="K57" s="20"/>
      <c r="L57" s="20"/>
      <c r="M57" s="20"/>
      <c r="N57" s="20"/>
      <c r="O57" s="20"/>
      <c r="P57" s="20"/>
      <c r="Q57" s="20"/>
      <c r="R57" s="20"/>
    </row>
    <row r="58" spans="1:18" x14ac:dyDescent="0.2">
      <c r="A58" s="3"/>
      <c r="B58" s="12"/>
      <c r="C58" s="12"/>
      <c r="D58" s="13"/>
      <c r="E58" s="6"/>
      <c r="F58" s="7"/>
      <c r="G58" s="3"/>
      <c r="H58" s="3"/>
      <c r="I58" s="3"/>
      <c r="J58" s="3"/>
      <c r="K58" s="3"/>
      <c r="L58" s="3"/>
      <c r="M58" s="3"/>
      <c r="N58" s="3"/>
      <c r="O58" s="3"/>
      <c r="P58" s="3"/>
      <c r="Q58" s="3"/>
      <c r="R58" s="3"/>
    </row>
    <row r="59" spans="1:18" x14ac:dyDescent="0.2">
      <c r="A59" s="3"/>
      <c r="B59" s="6"/>
      <c r="C59" s="6"/>
      <c r="D59" s="8"/>
      <c r="E59" s="6"/>
      <c r="F59" s="7"/>
      <c r="G59" s="3"/>
      <c r="H59" s="3"/>
      <c r="I59" s="3"/>
      <c r="J59" s="3"/>
      <c r="K59" s="3"/>
      <c r="L59" s="3"/>
      <c r="M59" s="3"/>
      <c r="N59" s="3"/>
      <c r="O59" s="3"/>
      <c r="P59" s="3"/>
      <c r="Q59" s="3"/>
      <c r="R59" s="3"/>
    </row>
    <row r="60" spans="1:18" x14ac:dyDescent="0.2">
      <c r="A60" s="3"/>
      <c r="B60" s="6"/>
      <c r="C60" s="6"/>
      <c r="D60" s="8"/>
      <c r="E60" s="6"/>
      <c r="F60" s="7"/>
      <c r="G60" s="3"/>
      <c r="H60" s="3"/>
      <c r="I60" s="3"/>
      <c r="J60" s="3"/>
      <c r="K60" s="3"/>
      <c r="L60" s="3"/>
      <c r="M60" s="3"/>
      <c r="N60" s="3"/>
      <c r="O60" s="3"/>
      <c r="P60" s="3"/>
      <c r="Q60" s="3"/>
      <c r="R60" s="3"/>
    </row>
    <row r="61" spans="1:18" x14ac:dyDescent="0.2">
      <c r="A61" s="3"/>
      <c r="B61" s="6"/>
      <c r="C61" s="6"/>
      <c r="D61" s="8"/>
      <c r="E61" s="6"/>
      <c r="F61" s="7"/>
      <c r="G61" s="3"/>
      <c r="H61" s="3"/>
      <c r="I61" s="3"/>
      <c r="J61" s="3"/>
      <c r="K61" s="3"/>
      <c r="L61" s="3"/>
      <c r="M61" s="3"/>
      <c r="N61" s="3"/>
      <c r="O61" s="3"/>
      <c r="P61" s="3"/>
      <c r="Q61" s="3"/>
      <c r="R61" s="3"/>
    </row>
    <row r="62" spans="1:18" x14ac:dyDescent="0.2">
      <c r="A62" s="2"/>
      <c r="B62" s="6"/>
      <c r="C62" s="6"/>
      <c r="D62" s="8"/>
      <c r="E62" s="12"/>
      <c r="F62" s="14"/>
      <c r="G62" s="3"/>
      <c r="H62" s="3"/>
      <c r="I62" s="3"/>
      <c r="J62" s="3"/>
      <c r="K62" s="3"/>
      <c r="L62" s="3"/>
      <c r="M62" s="3"/>
      <c r="N62" s="3"/>
      <c r="O62" s="3"/>
      <c r="P62" s="3"/>
      <c r="Q62" s="3"/>
      <c r="R62" s="3"/>
    </row>
    <row r="63" spans="1:18" x14ac:dyDescent="0.2">
      <c r="A63" s="3"/>
      <c r="B63" s="6"/>
      <c r="C63" s="6"/>
      <c r="D63" s="8"/>
      <c r="E63" s="6"/>
      <c r="F63" s="7"/>
      <c r="G63" s="3"/>
      <c r="H63" s="3"/>
      <c r="I63" s="3"/>
      <c r="J63" s="3"/>
      <c r="K63" s="3"/>
      <c r="L63" s="3"/>
      <c r="M63" s="3"/>
      <c r="N63" s="3"/>
      <c r="O63" s="3"/>
      <c r="P63" s="3"/>
      <c r="Q63" s="3"/>
      <c r="R63" s="3"/>
    </row>
    <row r="64" spans="1:18" x14ac:dyDescent="0.2">
      <c r="A64" s="3"/>
      <c r="B64" s="6"/>
      <c r="C64" s="6"/>
      <c r="D64" s="8"/>
      <c r="E64" s="6"/>
      <c r="F64" s="7"/>
      <c r="G64" s="3"/>
      <c r="H64" s="3"/>
      <c r="I64" s="3"/>
      <c r="J64" s="3"/>
      <c r="K64" s="3"/>
      <c r="L64" s="3"/>
      <c r="M64" s="3"/>
      <c r="N64" s="3"/>
      <c r="O64" s="3"/>
      <c r="P64" s="3"/>
      <c r="Q64" s="3"/>
      <c r="R64" s="3"/>
    </row>
    <row r="65" spans="1:18" x14ac:dyDescent="0.2">
      <c r="A65" s="3"/>
      <c r="B65" s="6"/>
      <c r="C65" s="6"/>
      <c r="D65" s="8"/>
      <c r="E65" s="6"/>
      <c r="F65" s="7"/>
      <c r="G65" s="3"/>
      <c r="H65" s="3"/>
      <c r="I65" s="3"/>
      <c r="J65" s="3"/>
      <c r="K65" s="3"/>
      <c r="L65" s="3"/>
      <c r="M65" s="3"/>
      <c r="N65" s="3"/>
      <c r="O65" s="3"/>
      <c r="P65" s="3"/>
      <c r="Q65" s="3"/>
      <c r="R65" s="3"/>
    </row>
    <row r="66" spans="1:18" x14ac:dyDescent="0.2">
      <c r="A66" s="3"/>
      <c r="B66" s="6"/>
      <c r="C66" s="6"/>
      <c r="D66" s="8"/>
      <c r="E66" s="6"/>
      <c r="F66" s="7"/>
      <c r="G66" s="3"/>
      <c r="H66" s="3"/>
      <c r="I66" s="3"/>
      <c r="J66" s="3"/>
      <c r="K66" s="3"/>
      <c r="L66" s="3"/>
      <c r="M66" s="3"/>
      <c r="N66" s="3"/>
      <c r="O66" s="3"/>
      <c r="P66" s="3"/>
      <c r="Q66" s="3"/>
      <c r="R66" s="3"/>
    </row>
    <row r="67" spans="1:18" x14ac:dyDescent="0.2">
      <c r="A67" s="3"/>
      <c r="B67" s="6"/>
      <c r="C67" s="6"/>
      <c r="D67" s="8"/>
      <c r="E67" s="6"/>
      <c r="F67" s="7"/>
      <c r="G67" s="3"/>
      <c r="H67" s="3"/>
      <c r="I67" s="3"/>
      <c r="J67" s="3"/>
      <c r="K67" s="3"/>
      <c r="L67" s="3"/>
      <c r="M67" s="3"/>
      <c r="N67" s="3"/>
      <c r="O67" s="3"/>
      <c r="P67" s="3"/>
      <c r="Q67" s="3"/>
      <c r="R67" s="3"/>
    </row>
    <row r="68" spans="1:18" x14ac:dyDescent="0.2">
      <c r="A68" s="3"/>
      <c r="B68" s="6"/>
      <c r="C68" s="6"/>
      <c r="D68" s="8"/>
      <c r="E68" s="6"/>
      <c r="F68" s="7"/>
      <c r="G68" s="3"/>
      <c r="H68" s="3"/>
      <c r="I68" s="3"/>
      <c r="J68" s="3"/>
      <c r="K68" s="3"/>
      <c r="L68" s="3"/>
      <c r="M68" s="3"/>
      <c r="N68" s="3"/>
      <c r="O68" s="3"/>
      <c r="P68" s="3"/>
      <c r="Q68" s="3"/>
      <c r="R68" s="3"/>
    </row>
    <row r="69" spans="1:18" x14ac:dyDescent="0.2">
      <c r="A69" s="3"/>
      <c r="B69" s="6"/>
      <c r="C69" s="6"/>
      <c r="D69" s="8"/>
      <c r="E69" s="6"/>
      <c r="F69" s="7"/>
      <c r="G69" s="3"/>
      <c r="H69" s="3"/>
      <c r="I69" s="3"/>
      <c r="J69" s="3"/>
      <c r="K69" s="3"/>
      <c r="L69" s="3"/>
      <c r="M69" s="3"/>
      <c r="N69" s="3"/>
      <c r="O69" s="3"/>
      <c r="P69" s="3"/>
      <c r="Q69" s="3"/>
      <c r="R69" s="3"/>
    </row>
    <row r="70" spans="1:18" x14ac:dyDescent="0.2">
      <c r="A70" s="3"/>
      <c r="B70" s="6"/>
      <c r="C70" s="6"/>
      <c r="D70" s="8"/>
      <c r="E70" s="6"/>
      <c r="F70" s="7"/>
      <c r="G70" s="3"/>
      <c r="H70" s="3"/>
      <c r="I70" s="3"/>
      <c r="J70" s="3"/>
      <c r="K70" s="3"/>
      <c r="L70" s="3"/>
      <c r="M70" s="3"/>
      <c r="N70" s="3"/>
      <c r="O70" s="3"/>
      <c r="P70" s="3"/>
      <c r="Q70" s="3"/>
      <c r="R70" s="3"/>
    </row>
    <row r="71" spans="1:18" x14ac:dyDescent="0.2">
      <c r="A71" s="3"/>
      <c r="B71" s="6"/>
      <c r="C71" s="6"/>
      <c r="D71" s="8"/>
      <c r="E71" s="6"/>
      <c r="F71" s="7"/>
      <c r="G71" s="3"/>
      <c r="H71" s="3"/>
      <c r="I71" s="3"/>
      <c r="J71" s="3"/>
      <c r="K71" s="3"/>
      <c r="L71" s="3"/>
      <c r="M71" s="3"/>
      <c r="N71" s="3"/>
      <c r="O71" s="3"/>
      <c r="P71" s="3"/>
      <c r="Q71" s="3"/>
      <c r="R71" s="3"/>
    </row>
    <row r="72" spans="1:18" x14ac:dyDescent="0.2">
      <c r="A72" s="3"/>
      <c r="B72" s="3"/>
      <c r="C72" s="3"/>
      <c r="D72" s="3"/>
      <c r="E72" s="6"/>
      <c r="F72" s="7"/>
      <c r="G72" s="3"/>
      <c r="H72" s="3"/>
      <c r="I72" s="3"/>
      <c r="J72" s="3"/>
      <c r="K72" s="3"/>
      <c r="L72" s="3"/>
      <c r="M72" s="3"/>
      <c r="N72" s="3"/>
      <c r="O72" s="3"/>
      <c r="P72" s="3"/>
      <c r="Q72" s="3"/>
      <c r="R72" s="3"/>
    </row>
    <row r="73" spans="1:18" x14ac:dyDescent="0.2">
      <c r="A73" s="3"/>
      <c r="B73" s="3"/>
      <c r="C73" s="3"/>
      <c r="D73" s="3"/>
      <c r="E73" s="6"/>
      <c r="F73" s="7"/>
      <c r="G73" s="3"/>
      <c r="H73" s="3"/>
      <c r="I73" s="3"/>
      <c r="J73" s="3"/>
      <c r="K73" s="3"/>
      <c r="L73" s="3"/>
      <c r="M73" s="3"/>
      <c r="N73" s="3"/>
      <c r="O73" s="3"/>
      <c r="P73" s="3"/>
      <c r="Q73" s="3"/>
      <c r="R73" s="3"/>
    </row>
    <row r="74" spans="1:18" x14ac:dyDescent="0.2">
      <c r="A74" s="3"/>
      <c r="B74" s="3"/>
      <c r="C74" s="3"/>
      <c r="D74" s="3"/>
      <c r="E74" s="6"/>
      <c r="F74" s="7"/>
      <c r="G74" s="3"/>
      <c r="H74" s="3"/>
      <c r="I74" s="3"/>
      <c r="J74" s="3"/>
      <c r="K74" s="3"/>
      <c r="L74" s="3"/>
      <c r="M74" s="3"/>
      <c r="N74" s="3"/>
      <c r="O74" s="3"/>
      <c r="P74" s="3"/>
      <c r="Q74" s="3"/>
      <c r="R74" s="3"/>
    </row>
    <row r="75" spans="1:18" x14ac:dyDescent="0.2">
      <c r="A75" s="3"/>
      <c r="B75" s="3"/>
      <c r="C75" s="3"/>
      <c r="D75" s="3"/>
      <c r="E75" s="6"/>
      <c r="F75" s="7"/>
      <c r="G75" s="3"/>
      <c r="H75" s="3"/>
      <c r="I75" s="3"/>
      <c r="J75" s="3"/>
      <c r="K75" s="3"/>
      <c r="L75" s="3"/>
      <c r="M75" s="3"/>
      <c r="N75" s="3"/>
      <c r="O75" s="3"/>
      <c r="P75" s="3"/>
      <c r="Q75" s="3"/>
      <c r="R75" s="3"/>
    </row>
    <row r="76" spans="1:18" x14ac:dyDescent="0.2">
      <c r="A76" s="3"/>
      <c r="B76" s="3"/>
      <c r="C76" s="3"/>
      <c r="D76" s="3"/>
      <c r="E76" s="3"/>
      <c r="F76" s="3"/>
      <c r="G76" s="3"/>
      <c r="H76" s="3"/>
      <c r="I76" s="3"/>
      <c r="J76" s="3"/>
      <c r="K76" s="3"/>
      <c r="L76" s="3"/>
      <c r="M76" s="3"/>
      <c r="N76" s="3"/>
      <c r="O76" s="3"/>
      <c r="P76" s="3"/>
      <c r="Q76" s="3"/>
      <c r="R76" s="3"/>
    </row>
    <row r="77" spans="1:18" x14ac:dyDescent="0.2">
      <c r="A77" s="3"/>
      <c r="B77" s="3"/>
      <c r="C77" s="3"/>
      <c r="D77" s="3"/>
      <c r="E77" s="3"/>
      <c r="F77" s="3"/>
      <c r="G77" s="3"/>
      <c r="H77" s="3"/>
      <c r="I77" s="3"/>
      <c r="J77" s="3"/>
      <c r="K77" s="3"/>
      <c r="L77" s="3"/>
      <c r="M77" s="3"/>
      <c r="N77" s="3"/>
      <c r="O77" s="3"/>
      <c r="P77" s="3"/>
      <c r="Q77" s="3"/>
      <c r="R77" s="3"/>
    </row>
    <row r="78" spans="1:18" x14ac:dyDescent="0.2">
      <c r="A78" s="3"/>
      <c r="B78" s="3"/>
      <c r="C78" s="3"/>
      <c r="D78" s="3"/>
      <c r="E78" s="3"/>
      <c r="F78" s="3"/>
      <c r="G78" s="3"/>
      <c r="H78" s="3"/>
      <c r="I78" s="3"/>
      <c r="J78" s="3"/>
      <c r="K78" s="3"/>
      <c r="L78" s="3"/>
      <c r="M78" s="3"/>
      <c r="N78" s="3"/>
      <c r="O78" s="3"/>
      <c r="P78" s="3"/>
      <c r="Q78" s="3"/>
      <c r="R78" s="3"/>
    </row>
    <row r="79" spans="1:18" x14ac:dyDescent="0.2">
      <c r="A79" s="3"/>
      <c r="B79" s="3"/>
      <c r="C79" s="3"/>
      <c r="D79" s="3"/>
      <c r="E79" s="3"/>
      <c r="F79" s="3"/>
      <c r="G79" s="3"/>
      <c r="H79" s="3"/>
      <c r="I79" s="3"/>
      <c r="J79" s="3"/>
      <c r="K79" s="3"/>
      <c r="L79" s="3"/>
      <c r="M79" s="3"/>
      <c r="N79" s="3"/>
      <c r="O79" s="3"/>
      <c r="P79" s="3"/>
      <c r="Q79" s="3"/>
      <c r="R79" s="3"/>
    </row>
    <row r="80" spans="1:18" x14ac:dyDescent="0.2">
      <c r="A80" s="3"/>
      <c r="B80" s="3"/>
      <c r="C80" s="3"/>
      <c r="D80" s="3"/>
      <c r="E80" s="3"/>
      <c r="F80" s="3"/>
      <c r="G80" s="3"/>
      <c r="H80" s="3"/>
      <c r="I80" s="3"/>
      <c r="J80" s="3"/>
      <c r="K80" s="3"/>
      <c r="L80" s="3"/>
      <c r="M80" s="3"/>
      <c r="N80" s="3"/>
      <c r="O80" s="3"/>
      <c r="P80" s="3"/>
      <c r="Q80" s="3"/>
      <c r="R80" s="3"/>
    </row>
    <row r="81" spans="1:18" x14ac:dyDescent="0.2">
      <c r="A81" s="3"/>
      <c r="B81" s="3"/>
      <c r="C81" s="3"/>
      <c r="D81" s="3"/>
      <c r="E81" s="3"/>
      <c r="F81" s="3"/>
      <c r="G81" s="3"/>
      <c r="H81" s="3"/>
      <c r="I81" s="3"/>
      <c r="J81" s="3"/>
      <c r="K81" s="3"/>
      <c r="L81" s="3"/>
      <c r="M81" s="3"/>
      <c r="N81" s="3"/>
      <c r="O81" s="3"/>
      <c r="P81" s="3"/>
      <c r="Q81" s="3"/>
      <c r="R81" s="3"/>
    </row>
    <row r="82" spans="1:18" x14ac:dyDescent="0.2">
      <c r="A82" s="3"/>
      <c r="E82" s="3"/>
      <c r="F82" s="3"/>
      <c r="G82" s="3"/>
      <c r="H82" s="3"/>
      <c r="I82" s="3"/>
      <c r="J82" s="3"/>
      <c r="K82" s="3"/>
      <c r="L82" s="3"/>
      <c r="M82" s="3"/>
      <c r="N82" s="3"/>
      <c r="O82" s="3"/>
      <c r="P82" s="3"/>
      <c r="Q82" s="3"/>
      <c r="R82" s="3"/>
    </row>
    <row r="83" spans="1:18" x14ac:dyDescent="0.2">
      <c r="A83" s="3"/>
      <c r="E83" s="3"/>
      <c r="F83" s="3"/>
      <c r="G83" s="3"/>
      <c r="H83" s="3"/>
      <c r="I83" s="3"/>
      <c r="J83" s="3"/>
      <c r="K83" s="3"/>
      <c r="L83" s="3"/>
      <c r="M83" s="3"/>
      <c r="N83" s="3"/>
      <c r="O83" s="3"/>
      <c r="P83" s="3"/>
      <c r="Q83" s="3"/>
      <c r="R83" s="3"/>
    </row>
    <row r="84" spans="1:18" x14ac:dyDescent="0.2">
      <c r="A84" s="3"/>
      <c r="E84" s="3"/>
      <c r="F84" s="3"/>
      <c r="G84" s="3"/>
      <c r="H84" s="3"/>
      <c r="I84" s="3"/>
      <c r="J84" s="3"/>
      <c r="K84" s="3"/>
      <c r="L84" s="3"/>
      <c r="M84" s="3"/>
      <c r="N84" s="3"/>
      <c r="O84" s="3"/>
      <c r="P84" s="3"/>
      <c r="Q84" s="3"/>
      <c r="R84" s="3"/>
    </row>
    <row r="85" spans="1:18" x14ac:dyDescent="0.2">
      <c r="A85" s="3"/>
      <c r="E85" s="3"/>
      <c r="F85" s="3"/>
      <c r="G85" s="3"/>
      <c r="H85" s="3"/>
      <c r="I85" s="3"/>
      <c r="J85" s="3"/>
      <c r="K85" s="3"/>
      <c r="L85" s="3"/>
      <c r="M85" s="3"/>
      <c r="N85" s="3"/>
      <c r="O85" s="3"/>
      <c r="P85" s="3"/>
      <c r="Q85" s="3"/>
      <c r="R85" s="3"/>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5"/>
  <sheetViews>
    <sheetView workbookViewId="0"/>
  </sheetViews>
  <sheetFormatPr defaultColWidth="9.77734375" defaultRowHeight="14.25" x14ac:dyDescent="0.2"/>
  <cols>
    <col min="1" max="1" width="34.5546875" style="1" bestFit="1" customWidth="1"/>
    <col min="2" max="2" width="14.5546875" style="1" bestFit="1" customWidth="1"/>
    <col min="3" max="3" width="10.88671875" style="1" bestFit="1" customWidth="1"/>
    <col min="4" max="4" width="15" style="1" customWidth="1"/>
    <col min="5" max="5" width="14.88671875" style="1" bestFit="1" customWidth="1"/>
    <col min="6" max="6" width="14.21875" style="1" bestFit="1" customWidth="1"/>
    <col min="7" max="16384" width="9.77734375" style="1"/>
  </cols>
  <sheetData>
    <row r="1" spans="1:19" ht="15.75" thickBot="1" x14ac:dyDescent="0.3">
      <c r="A1" s="108" t="s">
        <v>85</v>
      </c>
      <c r="B1" s="109"/>
      <c r="C1" s="109"/>
      <c r="D1" s="109"/>
      <c r="E1" s="109"/>
      <c r="F1" s="109"/>
      <c r="G1" s="3"/>
      <c r="H1" s="3"/>
      <c r="I1" s="3"/>
      <c r="J1" s="3"/>
      <c r="K1" s="3"/>
      <c r="L1" s="3"/>
      <c r="M1" s="3"/>
      <c r="N1" s="3"/>
      <c r="O1" s="3"/>
      <c r="P1" s="3"/>
      <c r="Q1" s="3"/>
      <c r="R1" s="3"/>
      <c r="S1" s="3"/>
    </row>
    <row r="2" spans="1:19" ht="47.25" customHeight="1" thickBot="1" x14ac:dyDescent="0.3">
      <c r="A2" s="18"/>
      <c r="B2" s="62" t="s">
        <v>86</v>
      </c>
      <c r="C2" s="19" t="s">
        <v>2</v>
      </c>
      <c r="D2" s="19" t="s">
        <v>3</v>
      </c>
      <c r="E2" s="19" t="s">
        <v>4</v>
      </c>
      <c r="F2" s="19" t="s">
        <v>1</v>
      </c>
      <c r="G2" s="3"/>
      <c r="H2" s="3"/>
      <c r="I2" s="3"/>
      <c r="J2" s="3"/>
      <c r="K2" s="3"/>
      <c r="L2" s="3"/>
      <c r="M2" s="3"/>
      <c r="N2" s="3"/>
      <c r="O2" s="3"/>
      <c r="P2" s="3"/>
      <c r="Q2" s="3"/>
      <c r="R2" s="3"/>
      <c r="S2" s="3"/>
    </row>
    <row r="3" spans="1:19" x14ac:dyDescent="0.2">
      <c r="A3" s="1" t="s">
        <v>5</v>
      </c>
      <c r="B3" s="72">
        <v>13621</v>
      </c>
      <c r="C3" s="63">
        <v>13600</v>
      </c>
      <c r="D3" s="63">
        <v>79</v>
      </c>
      <c r="E3" s="63">
        <v>1074.4000000000001</v>
      </c>
      <c r="F3" s="64">
        <v>29.24014805138254</v>
      </c>
      <c r="G3" s="3"/>
      <c r="H3" s="3"/>
      <c r="I3" s="3"/>
      <c r="J3" s="3"/>
      <c r="K3" s="3"/>
      <c r="L3" s="3"/>
      <c r="M3" s="3"/>
      <c r="N3" s="3"/>
      <c r="O3" s="3"/>
      <c r="P3" s="3"/>
      <c r="Q3" s="3"/>
      <c r="R3" s="3"/>
      <c r="S3" s="3"/>
    </row>
    <row r="4" spans="1:19" x14ac:dyDescent="0.2">
      <c r="A4" s="1" t="s">
        <v>6</v>
      </c>
      <c r="B4" s="72">
        <v>100352</v>
      </c>
      <c r="C4" s="63">
        <v>100000</v>
      </c>
      <c r="D4" s="63">
        <v>92</v>
      </c>
      <c r="E4" s="63">
        <v>9200</v>
      </c>
      <c r="F4" s="64">
        <v>250.38101458741562</v>
      </c>
      <c r="G4" s="3"/>
      <c r="H4" s="3"/>
      <c r="I4" s="3"/>
      <c r="J4" s="3"/>
      <c r="K4" s="3"/>
      <c r="L4" s="3"/>
      <c r="M4" s="3"/>
      <c r="N4" s="3"/>
      <c r="O4" s="3"/>
      <c r="P4" s="3"/>
      <c r="Q4" s="3"/>
      <c r="R4" s="3"/>
      <c r="S4" s="3"/>
    </row>
    <row r="5" spans="1:19" x14ac:dyDescent="0.2">
      <c r="A5" s="1" t="s">
        <v>7</v>
      </c>
      <c r="B5" s="72">
        <v>48779</v>
      </c>
      <c r="C5" s="63">
        <v>48600</v>
      </c>
      <c r="D5" s="63">
        <v>85</v>
      </c>
      <c r="E5" s="63">
        <v>4131</v>
      </c>
      <c r="F5" s="64">
        <v>112.42651861528412</v>
      </c>
      <c r="G5" s="3"/>
      <c r="H5" s="3"/>
      <c r="I5" s="3"/>
      <c r="J5" s="3"/>
      <c r="K5" s="3"/>
      <c r="L5" s="3"/>
      <c r="M5" s="3"/>
      <c r="N5" s="3"/>
      <c r="O5" s="3"/>
      <c r="P5" s="3"/>
      <c r="Q5" s="3"/>
      <c r="R5" s="3"/>
      <c r="S5" s="3"/>
    </row>
    <row r="6" spans="1:19" x14ac:dyDescent="0.2">
      <c r="A6" s="1" t="s">
        <v>8</v>
      </c>
      <c r="B6" s="72">
        <v>65859</v>
      </c>
      <c r="C6" s="63">
        <v>65600</v>
      </c>
      <c r="D6" s="63">
        <v>89</v>
      </c>
      <c r="E6" s="63">
        <v>5838.4</v>
      </c>
      <c r="F6" s="64">
        <v>158.89396908338776</v>
      </c>
      <c r="G6" s="3"/>
      <c r="H6" s="3"/>
      <c r="I6" s="3"/>
      <c r="J6" s="3"/>
      <c r="K6" s="3"/>
      <c r="L6" s="3"/>
      <c r="M6" s="3"/>
      <c r="N6" s="3"/>
      <c r="O6" s="3"/>
      <c r="P6" s="3"/>
      <c r="Q6" s="3"/>
      <c r="R6" s="3"/>
      <c r="S6" s="3"/>
    </row>
    <row r="7" spans="1:19" x14ac:dyDescent="0.2">
      <c r="A7" s="1" t="s">
        <v>9</v>
      </c>
      <c r="B7" s="72">
        <v>41256</v>
      </c>
      <c r="C7" s="63">
        <v>41100</v>
      </c>
      <c r="D7" s="63">
        <v>70</v>
      </c>
      <c r="E7" s="63">
        <v>2877</v>
      </c>
      <c r="F7" s="64">
        <v>78.298497713912482</v>
      </c>
      <c r="G7" s="3"/>
      <c r="H7" s="3"/>
      <c r="I7" s="3"/>
      <c r="J7" s="3"/>
      <c r="K7" s="3"/>
      <c r="L7" s="3"/>
      <c r="M7" s="3"/>
      <c r="N7" s="3"/>
      <c r="O7" s="3"/>
      <c r="P7" s="3"/>
      <c r="Q7" s="3"/>
      <c r="R7" s="3"/>
      <c r="S7" s="3"/>
    </row>
    <row r="8" spans="1:19" x14ac:dyDescent="0.2">
      <c r="A8" s="1" t="s">
        <v>10</v>
      </c>
      <c r="B8" s="72">
        <v>7932</v>
      </c>
      <c r="C8" s="63">
        <v>7900</v>
      </c>
      <c r="D8" s="63">
        <v>71</v>
      </c>
      <c r="E8" s="63">
        <v>560.9</v>
      </c>
      <c r="F8" s="64">
        <v>15.26507729153059</v>
      </c>
      <c r="G8" s="3"/>
      <c r="H8" s="3"/>
      <c r="I8" s="3"/>
      <c r="J8" s="3"/>
      <c r="K8" s="3"/>
      <c r="L8" s="3"/>
      <c r="M8" s="3"/>
      <c r="N8" s="3"/>
      <c r="O8" s="3"/>
      <c r="P8" s="3"/>
      <c r="Q8" s="3"/>
      <c r="R8" s="3"/>
      <c r="S8" s="3"/>
    </row>
    <row r="9" spans="1:19" x14ac:dyDescent="0.2">
      <c r="A9" s="1" t="s">
        <v>11</v>
      </c>
      <c r="B9" s="72">
        <v>126842</v>
      </c>
      <c r="C9" s="63">
        <v>126500</v>
      </c>
      <c r="D9" s="63">
        <v>87</v>
      </c>
      <c r="E9" s="63">
        <v>11005.5</v>
      </c>
      <c r="F9" s="64">
        <v>299.51828870019597</v>
      </c>
      <c r="G9" s="3"/>
      <c r="H9" s="3"/>
      <c r="I9" s="3"/>
      <c r="J9" s="3"/>
      <c r="K9" s="3"/>
      <c r="L9" s="3"/>
      <c r="M9" s="3"/>
      <c r="N9" s="3"/>
      <c r="O9" s="3"/>
      <c r="P9" s="3"/>
      <c r="Q9" s="3"/>
      <c r="R9" s="3"/>
      <c r="S9" s="3"/>
    </row>
    <row r="10" spans="1:19" x14ac:dyDescent="0.2">
      <c r="A10" s="1" t="s">
        <v>12</v>
      </c>
      <c r="B10" s="72">
        <v>98628</v>
      </c>
      <c r="C10" s="63">
        <v>98300</v>
      </c>
      <c r="D10" s="63">
        <v>89</v>
      </c>
      <c r="E10" s="63">
        <v>8748.7000000000007</v>
      </c>
      <c r="F10" s="64">
        <v>238.09873720879602</v>
      </c>
      <c r="G10" s="3"/>
      <c r="H10" s="3"/>
      <c r="I10" s="3"/>
      <c r="J10" s="3"/>
      <c r="K10" s="3"/>
      <c r="L10" s="3"/>
      <c r="M10" s="3"/>
      <c r="N10" s="3"/>
      <c r="O10" s="3"/>
      <c r="P10" s="3"/>
      <c r="Q10" s="3"/>
      <c r="R10" s="3"/>
      <c r="S10" s="3"/>
    </row>
    <row r="11" spans="1:19" x14ac:dyDescent="0.2">
      <c r="A11" s="1" t="s">
        <v>13</v>
      </c>
      <c r="B11" s="72">
        <v>16340</v>
      </c>
      <c r="C11" s="63">
        <v>16300</v>
      </c>
      <c r="D11" s="63">
        <v>64</v>
      </c>
      <c r="E11" s="63">
        <v>1043.2</v>
      </c>
      <c r="F11" s="64">
        <v>28.39102982799913</v>
      </c>
      <c r="G11" s="3"/>
      <c r="H11" s="3"/>
      <c r="I11" s="3"/>
      <c r="J11" s="3"/>
      <c r="K11" s="3"/>
      <c r="L11" s="3"/>
      <c r="M11" s="3"/>
      <c r="N11" s="3"/>
      <c r="O11" s="3"/>
      <c r="P11" s="3"/>
      <c r="Q11" s="3"/>
      <c r="R11" s="3"/>
      <c r="S11" s="3"/>
    </row>
    <row r="12" spans="1:19" x14ac:dyDescent="0.2">
      <c r="A12" s="1" t="s">
        <v>14</v>
      </c>
      <c r="B12" s="72">
        <v>44763</v>
      </c>
      <c r="C12" s="63">
        <v>44600</v>
      </c>
      <c r="D12" s="63">
        <v>93</v>
      </c>
      <c r="E12" s="63">
        <v>4147.8</v>
      </c>
      <c r="F12" s="64">
        <v>112.88373612018289</v>
      </c>
      <c r="G12" s="3"/>
      <c r="H12" s="3"/>
      <c r="I12" s="3"/>
      <c r="J12" s="3"/>
      <c r="K12" s="3"/>
      <c r="L12" s="3"/>
      <c r="M12" s="3"/>
      <c r="N12" s="3"/>
      <c r="O12" s="3"/>
      <c r="P12" s="3"/>
      <c r="Q12" s="3"/>
      <c r="R12" s="3"/>
      <c r="S12" s="3"/>
    </row>
    <row r="13" spans="1:19" ht="15" x14ac:dyDescent="0.25">
      <c r="A13" s="23" t="s">
        <v>15</v>
      </c>
      <c r="B13" s="25">
        <v>564372</v>
      </c>
      <c r="C13" s="67">
        <v>562500</v>
      </c>
      <c r="D13" s="68">
        <v>86.447822222222214</v>
      </c>
      <c r="E13" s="67">
        <v>48626.899999999994</v>
      </c>
      <c r="F13" s="68">
        <v>1323.397017200087</v>
      </c>
      <c r="G13" s="3"/>
      <c r="H13" s="3"/>
      <c r="I13" s="3"/>
      <c r="J13" s="3"/>
      <c r="K13" s="3"/>
      <c r="L13" s="3"/>
      <c r="M13" s="3"/>
      <c r="N13" s="3"/>
      <c r="O13" s="3"/>
      <c r="P13" s="3"/>
      <c r="Q13" s="3"/>
      <c r="R13" s="3"/>
      <c r="S13" s="3"/>
    </row>
    <row r="14" spans="1:19" x14ac:dyDescent="0.2">
      <c r="A14" s="1" t="s">
        <v>16</v>
      </c>
      <c r="B14" s="72">
        <v>44957</v>
      </c>
      <c r="C14" s="63">
        <v>44800</v>
      </c>
      <c r="D14" s="63">
        <v>80</v>
      </c>
      <c r="E14" s="63">
        <v>3584</v>
      </c>
      <c r="F14" s="64">
        <v>97.539734378401917</v>
      </c>
      <c r="G14" s="3"/>
      <c r="H14" s="3"/>
      <c r="I14" s="3"/>
      <c r="J14" s="3"/>
      <c r="K14" s="3"/>
      <c r="L14" s="3"/>
      <c r="M14" s="3"/>
      <c r="N14" s="3"/>
      <c r="O14" s="3"/>
      <c r="P14" s="3"/>
      <c r="Q14" s="3"/>
      <c r="R14" s="3"/>
      <c r="S14" s="3"/>
    </row>
    <row r="15" spans="1:19" x14ac:dyDescent="0.2">
      <c r="A15" s="1" t="s">
        <v>17</v>
      </c>
      <c r="B15" s="72">
        <v>11954</v>
      </c>
      <c r="C15" s="63">
        <v>11900</v>
      </c>
      <c r="D15" s="63">
        <v>80</v>
      </c>
      <c r="E15" s="63">
        <v>952</v>
      </c>
      <c r="F15" s="64">
        <v>25.908991944263008</v>
      </c>
      <c r="G15" s="3"/>
      <c r="H15" s="3"/>
      <c r="I15" s="3"/>
      <c r="J15" s="3"/>
      <c r="K15" s="3"/>
      <c r="L15" s="3"/>
      <c r="M15" s="3"/>
      <c r="N15" s="3"/>
      <c r="O15" s="3"/>
      <c r="P15" s="3"/>
      <c r="Q15" s="3"/>
      <c r="R15" s="3"/>
      <c r="S15" s="3"/>
    </row>
    <row r="16" spans="1:19" x14ac:dyDescent="0.2">
      <c r="A16" s="1" t="s">
        <v>18</v>
      </c>
      <c r="B16" s="72">
        <v>10734</v>
      </c>
      <c r="C16" s="63">
        <v>10700</v>
      </c>
      <c r="D16" s="63">
        <v>82</v>
      </c>
      <c r="E16" s="63">
        <v>877.4</v>
      </c>
      <c r="F16" s="64">
        <v>23.878728499891139</v>
      </c>
      <c r="G16" s="3"/>
      <c r="H16" s="3"/>
      <c r="I16" s="3"/>
      <c r="J16" s="3"/>
      <c r="K16" s="3"/>
      <c r="L16" s="3"/>
      <c r="M16" s="3"/>
      <c r="N16" s="3"/>
      <c r="O16" s="3"/>
      <c r="P16" s="3"/>
      <c r="Q16" s="3"/>
      <c r="R16" s="3"/>
      <c r="S16" s="3"/>
    </row>
    <row r="17" spans="1:19" x14ac:dyDescent="0.2">
      <c r="A17" s="1" t="s">
        <v>19</v>
      </c>
      <c r="B17" s="72">
        <v>8843</v>
      </c>
      <c r="C17" s="63">
        <v>8800</v>
      </c>
      <c r="D17" s="63">
        <v>67</v>
      </c>
      <c r="E17" s="63">
        <v>589.6</v>
      </c>
      <c r="F17" s="64">
        <v>16.046157195732636</v>
      </c>
      <c r="G17" s="3"/>
      <c r="H17" s="3"/>
      <c r="I17" s="3"/>
      <c r="J17" s="3"/>
      <c r="K17" s="3"/>
      <c r="L17" s="3"/>
      <c r="M17" s="3"/>
      <c r="N17" s="3"/>
      <c r="O17" s="3"/>
      <c r="P17" s="3"/>
      <c r="Q17" s="3"/>
      <c r="R17" s="3"/>
      <c r="S17" s="3"/>
    </row>
    <row r="18" spans="1:19" x14ac:dyDescent="0.2">
      <c r="A18" s="1" t="s">
        <v>20</v>
      </c>
      <c r="B18" s="72">
        <v>99250</v>
      </c>
      <c r="C18" s="63">
        <v>98900</v>
      </c>
      <c r="D18" s="63">
        <v>88</v>
      </c>
      <c r="E18" s="63">
        <v>8703.2000000000007</v>
      </c>
      <c r="F18" s="64">
        <v>236.8604397996952</v>
      </c>
      <c r="G18" s="3"/>
      <c r="H18" s="3"/>
      <c r="I18" s="3"/>
      <c r="J18" s="3"/>
      <c r="K18" s="3"/>
      <c r="L18" s="3"/>
      <c r="M18" s="3"/>
      <c r="N18" s="3"/>
      <c r="O18" s="3"/>
      <c r="P18" s="3"/>
      <c r="Q18" s="3"/>
      <c r="R18" s="3"/>
      <c r="S18" s="3"/>
    </row>
    <row r="19" spans="1:19" x14ac:dyDescent="0.2">
      <c r="A19" s="1" t="s">
        <v>21</v>
      </c>
      <c r="B19" s="72">
        <v>7849</v>
      </c>
      <c r="C19" s="63">
        <v>7800</v>
      </c>
      <c r="D19" s="63">
        <v>66</v>
      </c>
      <c r="E19" s="63">
        <v>514.79999999999995</v>
      </c>
      <c r="F19" s="64">
        <v>14.010450685826257</v>
      </c>
      <c r="G19" s="3"/>
      <c r="H19" s="3"/>
      <c r="I19" s="3"/>
      <c r="J19" s="3"/>
      <c r="K19" s="3"/>
      <c r="L19" s="3"/>
      <c r="M19" s="3"/>
      <c r="N19" s="3"/>
      <c r="O19" s="3"/>
      <c r="P19" s="3"/>
      <c r="Q19" s="3"/>
      <c r="R19" s="3"/>
      <c r="S19" s="3"/>
    </row>
    <row r="20" spans="1:19" x14ac:dyDescent="0.2">
      <c r="A20" s="1" t="s">
        <v>22</v>
      </c>
      <c r="B20" s="72">
        <v>64381</v>
      </c>
      <c r="C20" s="63">
        <v>64200</v>
      </c>
      <c r="D20" s="63">
        <v>96</v>
      </c>
      <c r="E20" s="63">
        <v>6163.2</v>
      </c>
      <c r="F20" s="64">
        <v>167.73350751143045</v>
      </c>
      <c r="G20" s="3"/>
      <c r="H20" s="3"/>
      <c r="I20" s="3"/>
      <c r="J20" s="3"/>
      <c r="K20" s="3"/>
      <c r="L20" s="3"/>
      <c r="M20" s="3"/>
      <c r="N20" s="3"/>
      <c r="O20" s="3"/>
      <c r="P20" s="3"/>
      <c r="Q20" s="3"/>
      <c r="R20" s="3"/>
      <c r="S20" s="3"/>
    </row>
    <row r="21" spans="1:19" x14ac:dyDescent="0.2">
      <c r="A21" s="1" t="s">
        <v>23</v>
      </c>
      <c r="B21" s="72">
        <v>46291</v>
      </c>
      <c r="C21" s="63">
        <v>46100</v>
      </c>
      <c r="D21" s="63">
        <v>77</v>
      </c>
      <c r="E21" s="63">
        <v>3549.7</v>
      </c>
      <c r="F21" s="64">
        <v>96.606248639233613</v>
      </c>
      <c r="G21" s="3"/>
      <c r="H21" s="3"/>
      <c r="I21" s="3"/>
      <c r="J21" s="3"/>
      <c r="K21" s="3"/>
      <c r="L21" s="3"/>
      <c r="M21" s="3"/>
      <c r="N21" s="3"/>
      <c r="O21" s="3"/>
      <c r="P21" s="3"/>
      <c r="Q21" s="3"/>
      <c r="R21" s="3"/>
      <c r="S21" s="3"/>
    </row>
    <row r="22" spans="1:19" x14ac:dyDescent="0.2">
      <c r="A22" s="1" t="s">
        <v>24</v>
      </c>
      <c r="B22" s="72">
        <v>18853</v>
      </c>
      <c r="C22" s="63">
        <v>18800</v>
      </c>
      <c r="D22" s="63">
        <v>83</v>
      </c>
      <c r="E22" s="63">
        <v>1560.4</v>
      </c>
      <c r="F22" s="64">
        <v>42.466797300239499</v>
      </c>
      <c r="G22" s="3"/>
      <c r="H22" s="3"/>
      <c r="I22" s="3"/>
      <c r="J22" s="3"/>
      <c r="K22" s="3"/>
      <c r="L22" s="3"/>
      <c r="M22" s="3"/>
      <c r="N22" s="3"/>
      <c r="O22" s="3"/>
      <c r="P22" s="3"/>
      <c r="Q22" s="3"/>
      <c r="R22" s="3"/>
      <c r="S22" s="3"/>
    </row>
    <row r="23" spans="1:19" x14ac:dyDescent="0.2">
      <c r="A23" s="1" t="s">
        <v>25</v>
      </c>
      <c r="B23" s="72">
        <v>48894</v>
      </c>
      <c r="C23" s="63">
        <v>48700</v>
      </c>
      <c r="D23" s="63">
        <v>84</v>
      </c>
      <c r="E23" s="63">
        <v>4090.8</v>
      </c>
      <c r="F23" s="64">
        <v>111.33246244284781</v>
      </c>
      <c r="G23" s="3"/>
      <c r="H23" s="3"/>
      <c r="I23" s="3"/>
      <c r="J23" s="3"/>
      <c r="K23" s="3"/>
      <c r="L23" s="3"/>
      <c r="M23" s="3"/>
      <c r="N23" s="3"/>
      <c r="O23" s="3"/>
      <c r="P23" s="3"/>
      <c r="Q23" s="3"/>
      <c r="R23" s="3"/>
      <c r="S23" s="3"/>
    </row>
    <row r="24" spans="1:19" ht="15" x14ac:dyDescent="0.25">
      <c r="A24" s="23" t="s">
        <v>26</v>
      </c>
      <c r="B24" s="25">
        <v>362006</v>
      </c>
      <c r="C24" s="67">
        <v>360700</v>
      </c>
      <c r="D24" s="68">
        <v>84.793734405322994</v>
      </c>
      <c r="E24" s="67">
        <v>30585.100000000002</v>
      </c>
      <c r="F24" s="68">
        <v>832.3835183975616</v>
      </c>
      <c r="G24" s="3"/>
      <c r="H24" s="3"/>
      <c r="I24" s="3"/>
      <c r="J24" s="3"/>
      <c r="K24" s="3"/>
      <c r="L24" s="3"/>
      <c r="M24" s="3"/>
      <c r="N24" s="3"/>
      <c r="O24" s="3"/>
      <c r="P24" s="3"/>
      <c r="Q24" s="3"/>
      <c r="R24" s="3"/>
      <c r="S24" s="3"/>
    </row>
    <row r="25" spans="1:19" x14ac:dyDescent="0.2">
      <c r="A25" s="1" t="s">
        <v>27</v>
      </c>
      <c r="B25" s="72">
        <v>23638</v>
      </c>
      <c r="C25" s="63">
        <v>23600</v>
      </c>
      <c r="D25" s="63">
        <v>70</v>
      </c>
      <c r="E25" s="63">
        <v>1652</v>
      </c>
      <c r="F25" s="64">
        <v>44.959721315044632</v>
      </c>
      <c r="G25" s="3"/>
      <c r="H25" s="3"/>
      <c r="I25" s="3"/>
      <c r="J25" s="3"/>
      <c r="K25" s="3"/>
      <c r="L25" s="3"/>
      <c r="M25" s="3"/>
      <c r="N25" s="3"/>
      <c r="O25" s="3"/>
      <c r="P25" s="3"/>
      <c r="Q25" s="3"/>
      <c r="R25" s="3"/>
      <c r="S25" s="3"/>
    </row>
    <row r="26" spans="1:19" x14ac:dyDescent="0.2">
      <c r="A26" s="1" t="s">
        <v>28</v>
      </c>
      <c r="B26" s="72" t="s">
        <v>84</v>
      </c>
      <c r="C26" s="69" t="s">
        <v>64</v>
      </c>
      <c r="D26" s="69" t="s">
        <v>64</v>
      </c>
      <c r="E26" s="69" t="s">
        <v>64</v>
      </c>
      <c r="F26" s="69" t="s">
        <v>64</v>
      </c>
      <c r="G26" s="3"/>
      <c r="H26" s="3"/>
      <c r="I26" s="3"/>
      <c r="J26" s="3"/>
      <c r="K26" s="3"/>
      <c r="L26" s="3"/>
      <c r="M26" s="3"/>
      <c r="N26" s="3"/>
      <c r="O26" s="3"/>
      <c r="P26" s="3"/>
      <c r="Q26" s="3"/>
      <c r="R26" s="3"/>
      <c r="S26" s="3"/>
    </row>
    <row r="27" spans="1:19" x14ac:dyDescent="0.2">
      <c r="A27" s="1" t="s">
        <v>29</v>
      </c>
      <c r="B27" s="72">
        <v>5162</v>
      </c>
      <c r="C27" s="63">
        <v>5100</v>
      </c>
      <c r="D27" s="63">
        <v>65</v>
      </c>
      <c r="E27" s="63">
        <v>331.5</v>
      </c>
      <c r="F27" s="64">
        <v>9.0218811234487255</v>
      </c>
      <c r="G27" s="3"/>
      <c r="H27" s="3"/>
      <c r="I27" s="3"/>
      <c r="J27" s="3"/>
      <c r="K27" s="3"/>
      <c r="L27" s="3"/>
      <c r="M27" s="3"/>
      <c r="N27" s="3"/>
      <c r="O27" s="3"/>
      <c r="P27" s="3"/>
      <c r="Q27" s="3"/>
      <c r="R27" s="3"/>
      <c r="S27" s="3"/>
    </row>
    <row r="28" spans="1:19" x14ac:dyDescent="0.2">
      <c r="A28" s="1" t="s">
        <v>30</v>
      </c>
      <c r="B28" s="72">
        <v>14423</v>
      </c>
      <c r="C28" s="63">
        <v>14400</v>
      </c>
      <c r="D28" s="63">
        <v>66</v>
      </c>
      <c r="E28" s="63">
        <v>950.4</v>
      </c>
      <c r="F28" s="64">
        <v>25.865447419986936</v>
      </c>
      <c r="G28" s="3"/>
      <c r="H28" s="3"/>
      <c r="I28" s="3"/>
      <c r="J28" s="3"/>
      <c r="K28" s="3"/>
      <c r="L28" s="3"/>
      <c r="M28" s="3"/>
      <c r="N28" s="3"/>
      <c r="O28" s="3"/>
      <c r="P28" s="3"/>
      <c r="Q28" s="3"/>
      <c r="R28" s="3"/>
      <c r="S28" s="3"/>
    </row>
    <row r="29" spans="1:19" x14ac:dyDescent="0.2">
      <c r="A29" s="1" t="s">
        <v>31</v>
      </c>
      <c r="B29" s="72">
        <v>0</v>
      </c>
      <c r="C29" s="69" t="s">
        <v>64</v>
      </c>
      <c r="D29" s="69" t="s">
        <v>64</v>
      </c>
      <c r="E29" s="69" t="s">
        <v>64</v>
      </c>
      <c r="F29" s="69" t="s">
        <v>64</v>
      </c>
      <c r="G29" s="3"/>
      <c r="H29" s="3"/>
      <c r="I29" s="3"/>
      <c r="J29" s="3"/>
      <c r="K29" s="3"/>
      <c r="L29" s="3"/>
      <c r="M29" s="3"/>
      <c r="N29" s="3"/>
      <c r="O29" s="3"/>
      <c r="P29" s="3"/>
      <c r="Q29" s="3"/>
      <c r="R29" s="3"/>
      <c r="S29" s="3"/>
    </row>
    <row r="30" spans="1:19" x14ac:dyDescent="0.2">
      <c r="A30" s="1" t="s">
        <v>32</v>
      </c>
      <c r="B30" s="72">
        <v>13460</v>
      </c>
      <c r="C30" s="63">
        <v>13400</v>
      </c>
      <c r="D30" s="63">
        <v>66</v>
      </c>
      <c r="E30" s="63">
        <v>884.4</v>
      </c>
      <c r="F30" s="64">
        <v>24.069235793598953</v>
      </c>
      <c r="G30" s="3"/>
      <c r="H30" s="3"/>
      <c r="I30" s="3"/>
      <c r="J30" s="3"/>
      <c r="K30" s="3"/>
      <c r="L30" s="3"/>
      <c r="M30" s="3"/>
      <c r="N30" s="3"/>
      <c r="O30" s="3"/>
      <c r="P30" s="3"/>
      <c r="Q30" s="3"/>
      <c r="R30" s="3"/>
      <c r="S30" s="3"/>
    </row>
    <row r="31" spans="1:19" x14ac:dyDescent="0.2">
      <c r="A31" s="1" t="s">
        <v>33</v>
      </c>
      <c r="B31" s="72" t="s">
        <v>84</v>
      </c>
      <c r="C31" s="69">
        <v>200</v>
      </c>
      <c r="D31" s="63">
        <v>47</v>
      </c>
      <c r="E31" s="63">
        <v>9.4</v>
      </c>
      <c r="F31" s="64">
        <v>0.2558240801219247</v>
      </c>
      <c r="G31" s="3"/>
      <c r="H31" s="3"/>
      <c r="I31" s="3"/>
      <c r="J31" s="3"/>
      <c r="K31" s="3"/>
      <c r="L31" s="3"/>
      <c r="M31" s="3"/>
      <c r="N31" s="3"/>
      <c r="O31" s="3"/>
      <c r="P31" s="3"/>
      <c r="Q31" s="3"/>
      <c r="R31" s="3"/>
      <c r="S31" s="3"/>
    </row>
    <row r="32" spans="1:19" x14ac:dyDescent="0.2">
      <c r="A32" s="1" t="s">
        <v>34</v>
      </c>
      <c r="B32" s="72">
        <v>5819</v>
      </c>
      <c r="C32" s="63">
        <v>5800</v>
      </c>
      <c r="D32" s="63">
        <v>63</v>
      </c>
      <c r="E32" s="63">
        <v>365.4</v>
      </c>
      <c r="F32" s="64">
        <v>9.9444807315480066</v>
      </c>
      <c r="G32" s="3"/>
      <c r="H32" s="3"/>
      <c r="I32" s="3"/>
      <c r="J32" s="3"/>
      <c r="K32" s="3"/>
      <c r="L32" s="3"/>
      <c r="M32" s="3"/>
      <c r="N32" s="3"/>
      <c r="O32" s="3"/>
      <c r="P32" s="3"/>
      <c r="Q32" s="3"/>
      <c r="R32" s="3"/>
      <c r="S32" s="3"/>
    </row>
    <row r="33" spans="1:19" x14ac:dyDescent="0.2">
      <c r="A33" s="1" t="s">
        <v>35</v>
      </c>
      <c r="B33" s="72">
        <v>12595</v>
      </c>
      <c r="C33" s="63">
        <v>12600</v>
      </c>
      <c r="D33" s="63">
        <v>65</v>
      </c>
      <c r="E33" s="63">
        <v>819</v>
      </c>
      <c r="F33" s="64">
        <v>22.289353363814499</v>
      </c>
      <c r="G33" s="3"/>
      <c r="H33" s="3"/>
      <c r="I33" s="3"/>
      <c r="J33" s="3"/>
      <c r="K33" s="3"/>
      <c r="L33" s="3"/>
      <c r="M33" s="3"/>
      <c r="N33" s="3"/>
      <c r="O33" s="3"/>
      <c r="P33" s="3"/>
      <c r="Q33" s="3"/>
      <c r="R33" s="3"/>
      <c r="S33" s="3"/>
    </row>
    <row r="34" spans="1:19" x14ac:dyDescent="0.2">
      <c r="A34" s="1" t="s">
        <v>36</v>
      </c>
      <c r="B34" s="72">
        <v>11713</v>
      </c>
      <c r="C34" s="63">
        <v>11700</v>
      </c>
      <c r="D34" s="63">
        <v>68</v>
      </c>
      <c r="E34" s="63">
        <v>795.6</v>
      </c>
      <c r="F34" s="64">
        <v>21.652514696276945</v>
      </c>
      <c r="G34" s="3"/>
      <c r="H34" s="3"/>
      <c r="I34" s="3"/>
      <c r="J34" s="3"/>
      <c r="K34" s="3"/>
      <c r="L34" s="3"/>
      <c r="M34" s="3"/>
      <c r="N34" s="3"/>
      <c r="O34" s="3"/>
      <c r="P34" s="3"/>
      <c r="Q34" s="3"/>
      <c r="R34" s="3"/>
      <c r="S34" s="3"/>
    </row>
    <row r="35" spans="1:19" ht="15" x14ac:dyDescent="0.25">
      <c r="A35" s="23" t="s">
        <v>37</v>
      </c>
      <c r="B35" s="25">
        <v>87050</v>
      </c>
      <c r="C35" s="65">
        <v>86800</v>
      </c>
      <c r="D35" s="68">
        <v>66.908986175115217</v>
      </c>
      <c r="E35" s="67">
        <v>5807.7000000000007</v>
      </c>
      <c r="F35" s="68">
        <v>158.05845852384064</v>
      </c>
      <c r="G35" s="3"/>
      <c r="H35" s="3"/>
      <c r="I35" s="3"/>
      <c r="J35" s="3"/>
      <c r="K35" s="3"/>
      <c r="L35" s="3"/>
      <c r="M35" s="3"/>
      <c r="N35" s="3"/>
      <c r="O35" s="3"/>
      <c r="P35" s="3"/>
      <c r="Q35" s="3"/>
      <c r="R35" s="3"/>
      <c r="S35" s="3"/>
    </row>
    <row r="36" spans="1:19" x14ac:dyDescent="0.2">
      <c r="A36" s="1" t="s">
        <v>38</v>
      </c>
      <c r="B36" s="72">
        <v>740</v>
      </c>
      <c r="C36" s="63">
        <v>700</v>
      </c>
      <c r="D36" s="63">
        <v>75</v>
      </c>
      <c r="E36" s="63">
        <v>52.5</v>
      </c>
      <c r="F36" s="64">
        <v>1.4288047028086219</v>
      </c>
      <c r="G36" s="3"/>
      <c r="H36" s="3"/>
      <c r="I36" s="3"/>
      <c r="J36" s="3"/>
      <c r="K36" s="3"/>
      <c r="L36" s="3"/>
      <c r="M36" s="3"/>
      <c r="N36" s="3"/>
      <c r="O36" s="3"/>
      <c r="P36" s="3"/>
      <c r="Q36" s="3"/>
      <c r="R36" s="3"/>
      <c r="S36" s="3"/>
    </row>
    <row r="37" spans="1:19" x14ac:dyDescent="0.2">
      <c r="A37" s="1" t="s">
        <v>39</v>
      </c>
      <c r="B37" s="72" t="s">
        <v>84</v>
      </c>
      <c r="C37" s="69" t="s">
        <v>64</v>
      </c>
      <c r="D37" s="63">
        <v>50</v>
      </c>
      <c r="E37" s="69" t="s">
        <v>64</v>
      </c>
      <c r="F37" s="69" t="s">
        <v>64</v>
      </c>
      <c r="G37" s="3"/>
      <c r="H37" s="3"/>
      <c r="I37" s="3"/>
      <c r="J37" s="3"/>
      <c r="K37" s="3"/>
      <c r="L37" s="3"/>
      <c r="M37" s="3"/>
      <c r="N37" s="3"/>
      <c r="O37" s="3"/>
      <c r="P37" s="3"/>
      <c r="Q37" s="3"/>
      <c r="R37" s="3"/>
      <c r="S37" s="3"/>
    </row>
    <row r="38" spans="1:19" x14ac:dyDescent="0.2">
      <c r="A38" s="1" t="s">
        <v>40</v>
      </c>
      <c r="B38" s="72">
        <v>497</v>
      </c>
      <c r="C38" s="63">
        <v>500</v>
      </c>
      <c r="D38" s="63">
        <v>58</v>
      </c>
      <c r="E38" s="63">
        <v>29</v>
      </c>
      <c r="F38" s="64">
        <v>0.78924450250381017</v>
      </c>
      <c r="G38" s="3"/>
      <c r="H38" s="3"/>
      <c r="I38" s="3"/>
      <c r="J38" s="3"/>
      <c r="K38" s="3"/>
      <c r="L38" s="3"/>
      <c r="M38" s="3"/>
      <c r="N38" s="3"/>
      <c r="O38" s="3"/>
      <c r="P38" s="3"/>
      <c r="Q38" s="3"/>
      <c r="R38" s="3"/>
      <c r="S38" s="3"/>
    </row>
    <row r="39" spans="1:19" x14ac:dyDescent="0.2">
      <c r="A39" s="1" t="s">
        <v>41</v>
      </c>
      <c r="B39" s="72">
        <v>4992</v>
      </c>
      <c r="C39" s="63">
        <v>5000</v>
      </c>
      <c r="D39" s="63">
        <v>60</v>
      </c>
      <c r="E39" s="63">
        <v>300</v>
      </c>
      <c r="F39" s="64">
        <v>8.1645983017635526</v>
      </c>
      <c r="G39" s="3"/>
      <c r="H39" s="3"/>
      <c r="I39" s="3"/>
      <c r="J39" s="3"/>
      <c r="K39" s="3"/>
      <c r="L39" s="3"/>
      <c r="M39" s="3"/>
      <c r="N39" s="3"/>
      <c r="O39" s="3"/>
      <c r="P39" s="3"/>
      <c r="Q39" s="3"/>
      <c r="R39" s="3"/>
      <c r="S39" s="3"/>
    </row>
    <row r="40" spans="1:19" x14ac:dyDescent="0.2">
      <c r="A40" s="1" t="s">
        <v>42</v>
      </c>
      <c r="B40" s="72">
        <v>963</v>
      </c>
      <c r="C40" s="63">
        <v>1000</v>
      </c>
      <c r="D40" s="63">
        <v>72</v>
      </c>
      <c r="E40" s="63">
        <v>72</v>
      </c>
      <c r="F40" s="64">
        <v>1.9595035924232529</v>
      </c>
      <c r="G40" s="3"/>
      <c r="H40" s="3"/>
      <c r="I40" s="3"/>
      <c r="J40" s="3"/>
      <c r="K40" s="3"/>
      <c r="L40" s="3"/>
      <c r="M40" s="3"/>
      <c r="N40" s="3"/>
      <c r="O40" s="3"/>
      <c r="P40" s="3"/>
      <c r="Q40" s="3"/>
      <c r="R40" s="3"/>
      <c r="S40" s="3"/>
    </row>
    <row r="41" spans="1:19" x14ac:dyDescent="0.2">
      <c r="A41" s="1" t="s">
        <v>43</v>
      </c>
      <c r="B41" s="72">
        <v>842</v>
      </c>
      <c r="C41" s="63">
        <v>800</v>
      </c>
      <c r="D41" s="63">
        <v>47</v>
      </c>
      <c r="E41" s="63">
        <v>37.6</v>
      </c>
      <c r="F41" s="64">
        <v>1.0232963204876988</v>
      </c>
      <c r="G41" s="3"/>
      <c r="H41" s="3"/>
      <c r="I41" s="3"/>
      <c r="J41" s="3"/>
      <c r="K41" s="3"/>
      <c r="L41" s="3"/>
      <c r="M41" s="3"/>
      <c r="N41" s="3"/>
      <c r="O41" s="3"/>
      <c r="P41" s="3"/>
      <c r="Q41" s="3"/>
      <c r="R41" s="3"/>
      <c r="S41" s="3"/>
    </row>
    <row r="42" spans="1:19" x14ac:dyDescent="0.2">
      <c r="A42" s="1" t="s">
        <v>44</v>
      </c>
      <c r="B42" s="72" t="s">
        <v>84</v>
      </c>
      <c r="C42" s="69" t="s">
        <v>64</v>
      </c>
      <c r="D42" s="63">
        <v>60</v>
      </c>
      <c r="E42" s="69" t="s">
        <v>64</v>
      </c>
      <c r="F42" s="69" t="s">
        <v>64</v>
      </c>
      <c r="G42" s="3"/>
      <c r="H42" s="3"/>
      <c r="I42" s="3"/>
      <c r="J42" s="3"/>
      <c r="K42" s="3"/>
      <c r="L42" s="3"/>
      <c r="M42" s="3"/>
      <c r="N42" s="3"/>
      <c r="O42" s="3"/>
      <c r="P42" s="3"/>
      <c r="Q42" s="3"/>
      <c r="R42" s="3"/>
      <c r="S42" s="3"/>
    </row>
    <row r="43" spans="1:19" x14ac:dyDescent="0.2">
      <c r="A43" s="1" t="s">
        <v>45</v>
      </c>
      <c r="B43" s="72" t="s">
        <v>84</v>
      </c>
      <c r="C43" s="69" t="s">
        <v>64</v>
      </c>
      <c r="D43" s="63">
        <v>81</v>
      </c>
      <c r="E43" s="69" t="s">
        <v>64</v>
      </c>
      <c r="F43" s="69" t="s">
        <v>64</v>
      </c>
      <c r="G43" s="3"/>
      <c r="H43" s="3"/>
      <c r="I43" s="3"/>
      <c r="J43" s="3"/>
      <c r="K43" s="3"/>
      <c r="L43" s="3"/>
      <c r="M43" s="3"/>
      <c r="N43" s="3"/>
      <c r="O43" s="3"/>
      <c r="P43" s="3"/>
      <c r="Q43" s="3"/>
      <c r="R43" s="3"/>
      <c r="S43" s="3"/>
    </row>
    <row r="44" spans="1:19" ht="15" x14ac:dyDescent="0.25">
      <c r="A44" s="23" t="s">
        <v>46</v>
      </c>
      <c r="B44" s="25">
        <v>10621</v>
      </c>
      <c r="C44" s="67">
        <v>10600</v>
      </c>
      <c r="D44" s="68">
        <v>65</v>
      </c>
      <c r="E44" s="67">
        <v>689</v>
      </c>
      <c r="F44" s="68">
        <v>18.751360766383627</v>
      </c>
      <c r="G44" s="3"/>
      <c r="H44" s="3"/>
      <c r="I44" s="3"/>
      <c r="J44" s="3"/>
      <c r="K44" s="3"/>
      <c r="L44" s="3"/>
      <c r="M44" s="3"/>
      <c r="N44" s="3"/>
      <c r="O44" s="3"/>
      <c r="P44" s="3"/>
      <c r="Q44" s="3"/>
      <c r="R44" s="3"/>
      <c r="S44" s="3"/>
    </row>
    <row r="45" spans="1:19" x14ac:dyDescent="0.2">
      <c r="A45" s="1" t="s">
        <v>47</v>
      </c>
      <c r="B45" s="72">
        <v>105</v>
      </c>
      <c r="C45" s="69" t="s">
        <v>64</v>
      </c>
      <c r="D45" s="72" t="s">
        <v>64</v>
      </c>
      <c r="E45" s="69" t="s">
        <v>64</v>
      </c>
      <c r="F45" s="69" t="s">
        <v>64</v>
      </c>
      <c r="G45" s="3"/>
      <c r="H45" s="3"/>
      <c r="I45" s="3"/>
      <c r="J45" s="3"/>
      <c r="K45" s="3"/>
      <c r="L45" s="3"/>
      <c r="M45" s="3"/>
      <c r="N45" s="3"/>
      <c r="O45" s="3"/>
      <c r="P45" s="3"/>
      <c r="Q45" s="3"/>
      <c r="R45" s="3"/>
      <c r="S45" s="3"/>
    </row>
    <row r="46" spans="1:19" x14ac:dyDescent="0.2">
      <c r="A46" s="1" t="s">
        <v>48</v>
      </c>
      <c r="B46" s="72">
        <v>0</v>
      </c>
      <c r="C46" s="69" t="s">
        <v>64</v>
      </c>
      <c r="D46" s="72" t="s">
        <v>64</v>
      </c>
      <c r="E46" s="69" t="s">
        <v>64</v>
      </c>
      <c r="F46" s="69" t="s">
        <v>64</v>
      </c>
      <c r="G46" s="3"/>
      <c r="H46" s="3"/>
      <c r="I46" s="3"/>
      <c r="J46" s="3"/>
      <c r="K46" s="3"/>
      <c r="L46" s="3"/>
      <c r="M46" s="3"/>
      <c r="N46" s="3"/>
      <c r="O46" s="3"/>
      <c r="P46" s="3"/>
      <c r="Q46" s="3"/>
      <c r="R46" s="3"/>
      <c r="S46" s="3"/>
    </row>
    <row r="47" spans="1:19" x14ac:dyDescent="0.2">
      <c r="A47" s="24" t="s">
        <v>49</v>
      </c>
      <c r="B47" s="72">
        <v>0</v>
      </c>
      <c r="C47" s="69" t="s">
        <v>64</v>
      </c>
      <c r="D47" s="72" t="s">
        <v>64</v>
      </c>
      <c r="E47" s="69" t="s">
        <v>64</v>
      </c>
      <c r="F47" s="69" t="s">
        <v>64</v>
      </c>
      <c r="G47" s="3"/>
      <c r="H47" s="3"/>
      <c r="I47" s="3"/>
      <c r="J47" s="3"/>
      <c r="K47" s="3"/>
      <c r="L47" s="3"/>
      <c r="M47" s="3"/>
      <c r="N47" s="3"/>
      <c r="O47" s="3"/>
      <c r="P47" s="3"/>
      <c r="Q47" s="3"/>
      <c r="R47" s="3"/>
      <c r="S47" s="3"/>
    </row>
    <row r="48" spans="1:19" x14ac:dyDescent="0.2">
      <c r="A48" s="1" t="s">
        <v>50</v>
      </c>
      <c r="B48" s="72" t="s">
        <v>84</v>
      </c>
      <c r="C48" s="69" t="s">
        <v>64</v>
      </c>
      <c r="D48" s="72" t="s">
        <v>64</v>
      </c>
      <c r="E48" s="69" t="s">
        <v>64</v>
      </c>
      <c r="F48" s="69" t="s">
        <v>64</v>
      </c>
      <c r="G48" s="3"/>
      <c r="H48" s="3"/>
      <c r="I48" s="3"/>
      <c r="J48" s="3"/>
      <c r="K48" s="3"/>
      <c r="L48" s="3"/>
      <c r="M48" s="3"/>
      <c r="N48" s="3"/>
      <c r="O48" s="3"/>
      <c r="P48" s="3"/>
      <c r="Q48" s="3"/>
      <c r="R48" s="3"/>
      <c r="S48" s="3"/>
    </row>
    <row r="49" spans="1:19" x14ac:dyDescent="0.2">
      <c r="A49" s="1" t="s">
        <v>51</v>
      </c>
      <c r="B49" s="72" t="s">
        <v>84</v>
      </c>
      <c r="C49" s="69" t="s">
        <v>64</v>
      </c>
      <c r="D49" s="72" t="s">
        <v>64</v>
      </c>
      <c r="E49" s="69" t="s">
        <v>64</v>
      </c>
      <c r="F49" s="69" t="s">
        <v>64</v>
      </c>
      <c r="G49" s="3"/>
      <c r="H49" s="3"/>
      <c r="I49" s="3"/>
      <c r="J49" s="3"/>
      <c r="K49" s="3"/>
      <c r="L49" s="3"/>
      <c r="M49" s="3"/>
      <c r="N49" s="3"/>
      <c r="O49" s="3"/>
      <c r="P49" s="3"/>
      <c r="Q49" s="3"/>
      <c r="R49" s="3"/>
      <c r="S49" s="3"/>
    </row>
    <row r="50" spans="1:19" x14ac:dyDescent="0.2">
      <c r="A50" s="1" t="s">
        <v>52</v>
      </c>
      <c r="B50" s="72">
        <v>165</v>
      </c>
      <c r="C50" s="69" t="s">
        <v>64</v>
      </c>
      <c r="D50" s="72" t="s">
        <v>64</v>
      </c>
      <c r="E50" s="69" t="s">
        <v>64</v>
      </c>
      <c r="F50" s="69" t="s">
        <v>64</v>
      </c>
      <c r="G50" s="3"/>
      <c r="H50" s="3"/>
      <c r="I50" s="3"/>
      <c r="J50" s="3"/>
      <c r="K50" s="3"/>
      <c r="L50" s="3"/>
      <c r="M50" s="3"/>
      <c r="N50" s="3"/>
      <c r="O50" s="3"/>
      <c r="P50" s="3"/>
      <c r="Q50" s="3"/>
      <c r="R50" s="3"/>
      <c r="S50" s="3"/>
    </row>
    <row r="51" spans="1:19" x14ac:dyDescent="0.2">
      <c r="A51" s="1" t="s">
        <v>53</v>
      </c>
      <c r="B51" s="72" t="s">
        <v>84</v>
      </c>
      <c r="C51" s="69" t="s">
        <v>64</v>
      </c>
      <c r="D51" s="72" t="s">
        <v>64</v>
      </c>
      <c r="E51" s="69" t="s">
        <v>64</v>
      </c>
      <c r="F51" s="69" t="s">
        <v>64</v>
      </c>
      <c r="G51" s="3"/>
      <c r="H51" s="3"/>
      <c r="I51" s="3"/>
      <c r="J51" s="3"/>
      <c r="K51" s="3"/>
      <c r="L51" s="3"/>
      <c r="M51" s="3"/>
      <c r="N51" s="3"/>
      <c r="O51" s="3"/>
      <c r="P51" s="3"/>
      <c r="Q51" s="3"/>
      <c r="R51" s="3"/>
      <c r="S51" s="3"/>
    </row>
    <row r="52" spans="1:19" x14ac:dyDescent="0.2">
      <c r="A52" s="1" t="s">
        <v>54</v>
      </c>
      <c r="B52" s="72" t="s">
        <v>84</v>
      </c>
      <c r="C52" s="69" t="s">
        <v>64</v>
      </c>
      <c r="D52" s="72" t="s">
        <v>64</v>
      </c>
      <c r="E52" s="69" t="s">
        <v>64</v>
      </c>
      <c r="F52" s="69" t="s">
        <v>64</v>
      </c>
      <c r="G52" s="3"/>
      <c r="H52" s="3"/>
      <c r="I52" s="3"/>
      <c r="J52" s="3"/>
      <c r="K52" s="3"/>
      <c r="L52" s="3"/>
      <c r="M52" s="3"/>
      <c r="N52" s="3"/>
      <c r="O52" s="3"/>
      <c r="P52" s="3"/>
      <c r="Q52" s="3"/>
      <c r="R52" s="3"/>
      <c r="S52" s="3"/>
    </row>
    <row r="53" spans="1:19" x14ac:dyDescent="0.2">
      <c r="A53" s="1" t="s">
        <v>55</v>
      </c>
      <c r="B53" s="72">
        <v>44</v>
      </c>
      <c r="C53" s="69" t="s">
        <v>64</v>
      </c>
      <c r="D53" s="72" t="s">
        <v>64</v>
      </c>
      <c r="E53" s="69" t="s">
        <v>64</v>
      </c>
      <c r="F53" s="69" t="s">
        <v>64</v>
      </c>
      <c r="G53" s="3"/>
      <c r="H53" s="3"/>
      <c r="I53" s="3"/>
      <c r="J53" s="3"/>
      <c r="K53" s="3"/>
      <c r="L53" s="3"/>
      <c r="M53" s="3"/>
      <c r="N53" s="3"/>
      <c r="O53" s="3"/>
      <c r="P53" s="3"/>
      <c r="Q53" s="3"/>
      <c r="R53" s="3"/>
      <c r="S53" s="3"/>
    </row>
    <row r="54" spans="1:19" x14ac:dyDescent="0.2">
      <c r="A54" s="1" t="s">
        <v>56</v>
      </c>
      <c r="B54" s="72" t="s">
        <v>84</v>
      </c>
      <c r="C54" s="69" t="s">
        <v>64</v>
      </c>
      <c r="D54" s="72" t="s">
        <v>64</v>
      </c>
      <c r="E54" s="69" t="s">
        <v>64</v>
      </c>
      <c r="F54" s="69" t="s">
        <v>64</v>
      </c>
      <c r="G54" s="3"/>
      <c r="H54" s="3"/>
      <c r="I54" s="3"/>
      <c r="J54" s="3"/>
      <c r="K54" s="3"/>
      <c r="L54" s="3"/>
      <c r="M54" s="3"/>
      <c r="N54" s="3"/>
      <c r="O54" s="3"/>
      <c r="P54" s="3"/>
      <c r="Q54" s="3"/>
      <c r="R54" s="3"/>
      <c r="S54" s="3"/>
    </row>
    <row r="55" spans="1:19" ht="15" x14ac:dyDescent="0.25">
      <c r="A55" s="23" t="s">
        <v>57</v>
      </c>
      <c r="B55" s="25">
        <v>4427</v>
      </c>
      <c r="C55" s="67">
        <v>4400</v>
      </c>
      <c r="D55" s="68">
        <v>66.099999999999994</v>
      </c>
      <c r="E55" s="67">
        <v>290.83999999999997</v>
      </c>
      <c r="F55" s="68">
        <v>7.9153059002830384</v>
      </c>
      <c r="G55" s="3"/>
      <c r="H55" s="3"/>
      <c r="I55" s="3"/>
      <c r="J55" s="3"/>
      <c r="K55" s="3"/>
      <c r="L55" s="3"/>
      <c r="M55" s="3"/>
      <c r="N55" s="3"/>
      <c r="O55" s="3"/>
      <c r="P55" s="3"/>
      <c r="Q55" s="3"/>
      <c r="R55" s="3"/>
      <c r="S55" s="3"/>
    </row>
    <row r="56" spans="1:19" ht="15" x14ac:dyDescent="0.25">
      <c r="A56" s="17" t="s">
        <v>0</v>
      </c>
      <c r="B56" s="25">
        <v>1028476</v>
      </c>
      <c r="C56" s="65">
        <v>1025000</v>
      </c>
      <c r="D56" s="68">
        <v>83.901990243902432</v>
      </c>
      <c r="E56" s="65">
        <v>85999.54</v>
      </c>
      <c r="F56" s="68">
        <v>2340.5056607881556</v>
      </c>
      <c r="G56" s="3"/>
      <c r="H56" s="3"/>
      <c r="I56" s="3"/>
      <c r="J56" s="3"/>
      <c r="K56" s="3"/>
      <c r="L56" s="3"/>
      <c r="M56" s="3"/>
      <c r="N56" s="3"/>
      <c r="O56" s="3"/>
      <c r="P56" s="3"/>
      <c r="Q56" s="3"/>
      <c r="R56" s="3"/>
      <c r="S56" s="3"/>
    </row>
    <row r="57" spans="1:19" s="22" customFormat="1" x14ac:dyDescent="0.2">
      <c r="A57" s="20"/>
      <c r="B57" s="20"/>
      <c r="C57" s="16"/>
      <c r="D57" s="20"/>
      <c r="E57" s="15"/>
      <c r="F57" s="21"/>
      <c r="G57" s="20"/>
      <c r="H57" s="20"/>
      <c r="I57" s="20"/>
      <c r="J57" s="20"/>
      <c r="K57" s="20"/>
      <c r="L57" s="20"/>
      <c r="M57" s="20"/>
      <c r="N57" s="20"/>
      <c r="O57" s="20"/>
      <c r="P57" s="20"/>
      <c r="Q57" s="20"/>
      <c r="R57" s="20"/>
      <c r="S57" s="20"/>
    </row>
    <row r="58" spans="1:19" x14ac:dyDescent="0.2">
      <c r="A58" s="3"/>
      <c r="B58" s="12"/>
      <c r="C58" s="12"/>
      <c r="D58" s="13"/>
      <c r="E58" s="6"/>
      <c r="F58" s="7"/>
      <c r="G58" s="3"/>
      <c r="H58" s="3"/>
      <c r="I58" s="3"/>
      <c r="J58" s="3"/>
      <c r="K58" s="3"/>
      <c r="L58" s="3"/>
      <c r="M58" s="3"/>
      <c r="N58" s="3"/>
      <c r="O58" s="3"/>
      <c r="P58" s="3"/>
      <c r="Q58" s="3"/>
      <c r="R58" s="3"/>
      <c r="S58" s="3"/>
    </row>
    <row r="59" spans="1:19" x14ac:dyDescent="0.2">
      <c r="A59" s="3"/>
      <c r="B59" s="6"/>
      <c r="C59" s="6"/>
      <c r="D59" s="8"/>
      <c r="E59" s="6"/>
      <c r="F59" s="7"/>
      <c r="G59" s="3"/>
      <c r="H59" s="3"/>
      <c r="I59" s="3"/>
      <c r="J59" s="3"/>
      <c r="K59" s="3"/>
      <c r="L59" s="3"/>
      <c r="M59" s="3"/>
      <c r="N59" s="3"/>
      <c r="O59" s="3"/>
      <c r="P59" s="3"/>
      <c r="Q59" s="3"/>
      <c r="R59" s="3"/>
      <c r="S59" s="3"/>
    </row>
    <row r="60" spans="1:19" x14ac:dyDescent="0.2">
      <c r="A60" s="3"/>
      <c r="B60" s="6"/>
      <c r="C60" s="6"/>
      <c r="D60" s="8"/>
      <c r="E60" s="6"/>
      <c r="F60" s="7"/>
      <c r="G60" s="3"/>
      <c r="H60" s="3"/>
      <c r="I60" s="3"/>
      <c r="J60" s="3"/>
      <c r="K60" s="3"/>
      <c r="L60" s="3"/>
      <c r="M60" s="3"/>
      <c r="N60" s="3"/>
      <c r="O60" s="3"/>
      <c r="P60" s="3"/>
      <c r="Q60" s="3"/>
      <c r="R60" s="3"/>
      <c r="S60" s="3"/>
    </row>
    <row r="61" spans="1:19" x14ac:dyDescent="0.2">
      <c r="A61" s="3"/>
      <c r="B61" s="6"/>
      <c r="C61" s="6"/>
      <c r="D61" s="8"/>
      <c r="E61" s="6"/>
      <c r="F61" s="7"/>
      <c r="G61" s="3"/>
      <c r="H61" s="3"/>
      <c r="I61" s="3"/>
      <c r="J61" s="3"/>
      <c r="K61" s="3"/>
      <c r="L61" s="3"/>
      <c r="M61" s="3"/>
      <c r="N61" s="3"/>
      <c r="O61" s="3"/>
      <c r="P61" s="3"/>
      <c r="Q61" s="3"/>
      <c r="R61" s="3"/>
      <c r="S61" s="3"/>
    </row>
    <row r="62" spans="1:19" x14ac:dyDescent="0.2">
      <c r="A62" s="2"/>
      <c r="B62" s="6"/>
      <c r="C62" s="6"/>
      <c r="D62" s="8"/>
      <c r="E62" s="12"/>
      <c r="F62" s="14"/>
      <c r="G62" s="3"/>
      <c r="H62" s="3"/>
      <c r="I62" s="3"/>
      <c r="J62" s="3"/>
      <c r="K62" s="3"/>
      <c r="L62" s="3"/>
      <c r="M62" s="3"/>
      <c r="N62" s="3"/>
      <c r="O62" s="3"/>
      <c r="P62" s="3"/>
      <c r="Q62" s="3"/>
      <c r="R62" s="3"/>
      <c r="S62" s="3"/>
    </row>
    <row r="63" spans="1:19" x14ac:dyDescent="0.2">
      <c r="A63" s="3"/>
      <c r="B63" s="6"/>
      <c r="C63" s="6"/>
      <c r="D63" s="8"/>
      <c r="E63" s="6"/>
      <c r="F63" s="7"/>
      <c r="G63" s="3"/>
      <c r="H63" s="3"/>
      <c r="I63" s="3"/>
      <c r="J63" s="3"/>
      <c r="K63" s="3"/>
      <c r="L63" s="3"/>
      <c r="M63" s="3"/>
      <c r="N63" s="3"/>
      <c r="O63" s="3"/>
      <c r="P63" s="3"/>
      <c r="Q63" s="3"/>
      <c r="R63" s="3"/>
      <c r="S63" s="3"/>
    </row>
    <row r="64" spans="1:19" x14ac:dyDescent="0.2">
      <c r="A64" s="3"/>
      <c r="B64" s="6"/>
      <c r="C64" s="6"/>
      <c r="D64" s="8"/>
      <c r="E64" s="6"/>
      <c r="F64" s="7"/>
      <c r="G64" s="3"/>
      <c r="H64" s="3"/>
      <c r="I64" s="3"/>
      <c r="J64" s="3"/>
      <c r="K64" s="3"/>
      <c r="L64" s="3"/>
      <c r="M64" s="3"/>
      <c r="N64" s="3"/>
      <c r="O64" s="3"/>
      <c r="P64" s="3"/>
      <c r="Q64" s="3"/>
      <c r="R64" s="3"/>
      <c r="S64" s="3"/>
    </row>
    <row r="65" spans="1:19" x14ac:dyDescent="0.2">
      <c r="A65" s="3"/>
      <c r="B65" s="6"/>
      <c r="C65" s="6"/>
      <c r="D65" s="8"/>
      <c r="E65" s="6"/>
      <c r="F65" s="7"/>
      <c r="G65" s="3"/>
      <c r="H65" s="3"/>
      <c r="I65" s="3"/>
      <c r="J65" s="3"/>
      <c r="K65" s="3"/>
      <c r="L65" s="3"/>
      <c r="M65" s="3"/>
      <c r="N65" s="3"/>
      <c r="O65" s="3"/>
      <c r="P65" s="3"/>
      <c r="Q65" s="3"/>
      <c r="R65" s="3"/>
      <c r="S65" s="3"/>
    </row>
    <row r="66" spans="1:19" x14ac:dyDescent="0.2">
      <c r="A66" s="3"/>
      <c r="B66" s="6"/>
      <c r="C66" s="6"/>
      <c r="D66" s="8"/>
      <c r="E66" s="6"/>
      <c r="F66" s="7"/>
      <c r="G66" s="3"/>
      <c r="H66" s="3"/>
      <c r="I66" s="3"/>
      <c r="J66" s="3"/>
      <c r="K66" s="3"/>
      <c r="L66" s="3"/>
      <c r="M66" s="3"/>
      <c r="N66" s="3"/>
      <c r="O66" s="3"/>
      <c r="P66" s="3"/>
      <c r="Q66" s="3"/>
      <c r="R66" s="3"/>
      <c r="S66" s="3"/>
    </row>
    <row r="67" spans="1:19" x14ac:dyDescent="0.2">
      <c r="A67" s="3"/>
      <c r="B67" s="6"/>
      <c r="C67" s="6"/>
      <c r="D67" s="8"/>
      <c r="E67" s="6"/>
      <c r="F67" s="7"/>
      <c r="G67" s="3"/>
      <c r="H67" s="3"/>
      <c r="I67" s="3"/>
      <c r="J67" s="3"/>
      <c r="K67" s="3"/>
      <c r="L67" s="3"/>
      <c r="M67" s="3"/>
      <c r="N67" s="3"/>
      <c r="O67" s="3"/>
      <c r="P67" s="3"/>
      <c r="Q67" s="3"/>
      <c r="R67" s="3"/>
      <c r="S67" s="3"/>
    </row>
    <row r="68" spans="1:19" x14ac:dyDescent="0.2">
      <c r="A68" s="3"/>
      <c r="B68" s="6"/>
      <c r="C68" s="6"/>
      <c r="D68" s="8"/>
      <c r="E68" s="6"/>
      <c r="F68" s="7"/>
      <c r="G68" s="3"/>
      <c r="H68" s="3"/>
      <c r="I68" s="3"/>
      <c r="J68" s="3"/>
      <c r="K68" s="3"/>
      <c r="L68" s="3"/>
      <c r="M68" s="3"/>
      <c r="N68" s="3"/>
      <c r="O68" s="3"/>
      <c r="P68" s="3"/>
      <c r="Q68" s="3"/>
      <c r="R68" s="3"/>
      <c r="S68" s="3"/>
    </row>
    <row r="69" spans="1:19" x14ac:dyDescent="0.2">
      <c r="A69" s="3"/>
      <c r="B69" s="6"/>
      <c r="C69" s="6"/>
      <c r="D69" s="8"/>
      <c r="E69" s="6"/>
      <c r="F69" s="7"/>
      <c r="G69" s="3"/>
      <c r="H69" s="3"/>
      <c r="I69" s="3"/>
      <c r="J69" s="3"/>
      <c r="K69" s="3"/>
      <c r="L69" s="3"/>
      <c r="M69" s="3"/>
      <c r="N69" s="3"/>
      <c r="O69" s="3"/>
      <c r="P69" s="3"/>
      <c r="Q69" s="3"/>
      <c r="R69" s="3"/>
      <c r="S69" s="3"/>
    </row>
    <row r="70" spans="1:19" x14ac:dyDescent="0.2">
      <c r="A70" s="3"/>
      <c r="B70" s="6"/>
      <c r="C70" s="6"/>
      <c r="D70" s="8"/>
      <c r="E70" s="6"/>
      <c r="F70" s="7"/>
      <c r="G70" s="3"/>
      <c r="H70" s="3"/>
      <c r="I70" s="3"/>
      <c r="J70" s="3"/>
      <c r="K70" s="3"/>
      <c r="L70" s="3"/>
      <c r="M70" s="3"/>
      <c r="N70" s="3"/>
      <c r="O70" s="3"/>
      <c r="P70" s="3"/>
      <c r="Q70" s="3"/>
      <c r="R70" s="3"/>
      <c r="S70" s="3"/>
    </row>
    <row r="71" spans="1:19" x14ac:dyDescent="0.2">
      <c r="A71" s="3"/>
      <c r="B71" s="6"/>
      <c r="C71" s="6"/>
      <c r="D71" s="8"/>
      <c r="E71" s="6"/>
      <c r="F71" s="7"/>
      <c r="G71" s="3"/>
      <c r="H71" s="3"/>
      <c r="I71" s="3"/>
      <c r="J71" s="3"/>
      <c r="K71" s="3"/>
      <c r="L71" s="3"/>
      <c r="M71" s="3"/>
      <c r="N71" s="3"/>
      <c r="O71" s="3"/>
      <c r="P71" s="3"/>
      <c r="Q71" s="3"/>
      <c r="R71" s="3"/>
      <c r="S71" s="3"/>
    </row>
    <row r="72" spans="1:19" x14ac:dyDescent="0.2">
      <c r="A72" s="3"/>
      <c r="B72" s="3"/>
      <c r="C72" s="3"/>
      <c r="D72" s="3"/>
      <c r="E72" s="6"/>
      <c r="F72" s="7"/>
      <c r="G72" s="3"/>
      <c r="H72" s="3"/>
      <c r="I72" s="3"/>
      <c r="J72" s="3"/>
      <c r="K72" s="3"/>
      <c r="L72" s="3"/>
      <c r="M72" s="3"/>
      <c r="N72" s="3"/>
      <c r="O72" s="3"/>
      <c r="P72" s="3"/>
      <c r="Q72" s="3"/>
      <c r="R72" s="3"/>
      <c r="S72" s="3"/>
    </row>
    <row r="73" spans="1:19" x14ac:dyDescent="0.2">
      <c r="A73" s="3"/>
      <c r="B73" s="3"/>
      <c r="C73" s="3"/>
      <c r="D73" s="3"/>
      <c r="E73" s="6"/>
      <c r="F73" s="7"/>
      <c r="G73" s="3"/>
      <c r="H73" s="3"/>
      <c r="I73" s="3"/>
      <c r="J73" s="3"/>
      <c r="K73" s="3"/>
      <c r="L73" s="3"/>
      <c r="M73" s="3"/>
      <c r="N73" s="3"/>
      <c r="O73" s="3"/>
      <c r="P73" s="3"/>
      <c r="Q73" s="3"/>
      <c r="R73" s="3"/>
      <c r="S73" s="3"/>
    </row>
    <row r="74" spans="1:19" x14ac:dyDescent="0.2">
      <c r="A74" s="3"/>
      <c r="B74" s="3"/>
      <c r="C74" s="3"/>
      <c r="D74" s="3"/>
      <c r="E74" s="6"/>
      <c r="F74" s="7"/>
      <c r="G74" s="3"/>
      <c r="H74" s="3"/>
      <c r="I74" s="3"/>
      <c r="J74" s="3"/>
      <c r="K74" s="3"/>
      <c r="L74" s="3"/>
      <c r="M74" s="3"/>
      <c r="N74" s="3"/>
      <c r="O74" s="3"/>
      <c r="P74" s="3"/>
      <c r="Q74" s="3"/>
      <c r="R74" s="3"/>
      <c r="S74" s="3"/>
    </row>
    <row r="75" spans="1:19" x14ac:dyDescent="0.2">
      <c r="A75" s="3"/>
      <c r="B75" s="3"/>
      <c r="C75" s="3"/>
      <c r="D75" s="3"/>
      <c r="E75" s="6"/>
      <c r="F75" s="7"/>
      <c r="G75" s="3"/>
      <c r="H75" s="3"/>
      <c r="I75" s="3"/>
      <c r="J75" s="3"/>
      <c r="K75" s="3"/>
      <c r="L75" s="3"/>
      <c r="M75" s="3"/>
      <c r="N75" s="3"/>
      <c r="O75" s="3"/>
      <c r="P75" s="3"/>
      <c r="Q75" s="3"/>
      <c r="R75" s="3"/>
      <c r="S75" s="3"/>
    </row>
    <row r="76" spans="1:19" x14ac:dyDescent="0.2">
      <c r="A76" s="3"/>
      <c r="B76" s="3"/>
      <c r="C76" s="3"/>
      <c r="D76" s="3"/>
      <c r="E76" s="3"/>
      <c r="F76" s="3"/>
      <c r="G76" s="3"/>
      <c r="H76" s="3"/>
      <c r="I76" s="3"/>
      <c r="J76" s="3"/>
      <c r="K76" s="3"/>
      <c r="L76" s="3"/>
      <c r="M76" s="3"/>
      <c r="N76" s="3"/>
      <c r="O76" s="3"/>
      <c r="P76" s="3"/>
      <c r="Q76" s="3"/>
      <c r="R76" s="3"/>
      <c r="S76" s="3"/>
    </row>
    <row r="77" spans="1:19" x14ac:dyDescent="0.2">
      <c r="A77" s="3"/>
      <c r="B77" s="3"/>
      <c r="C77" s="3"/>
      <c r="D77" s="3"/>
      <c r="E77" s="3"/>
      <c r="F77" s="3"/>
      <c r="G77" s="3"/>
      <c r="H77" s="3"/>
      <c r="I77" s="3"/>
      <c r="J77" s="3"/>
      <c r="K77" s="3"/>
      <c r="L77" s="3"/>
      <c r="M77" s="3"/>
      <c r="N77" s="3"/>
      <c r="O77" s="3"/>
      <c r="P77" s="3"/>
      <c r="Q77" s="3"/>
      <c r="R77" s="3"/>
      <c r="S77" s="3"/>
    </row>
    <row r="78" spans="1:19" x14ac:dyDescent="0.2">
      <c r="A78" s="3"/>
      <c r="B78" s="3"/>
      <c r="C78" s="3"/>
      <c r="D78" s="3"/>
      <c r="E78" s="3"/>
      <c r="F78" s="3"/>
      <c r="G78" s="3"/>
      <c r="H78" s="3"/>
      <c r="I78" s="3"/>
      <c r="J78" s="3"/>
      <c r="K78" s="3"/>
      <c r="L78" s="3"/>
      <c r="M78" s="3"/>
      <c r="N78" s="3"/>
      <c r="O78" s="3"/>
      <c r="P78" s="3"/>
      <c r="Q78" s="3"/>
      <c r="R78" s="3"/>
      <c r="S78" s="3"/>
    </row>
    <row r="79" spans="1:19" x14ac:dyDescent="0.2">
      <c r="A79" s="3"/>
      <c r="B79" s="3"/>
      <c r="C79" s="3"/>
      <c r="D79" s="3"/>
      <c r="E79" s="3"/>
      <c r="F79" s="3"/>
      <c r="G79" s="3"/>
      <c r="H79" s="3"/>
      <c r="I79" s="3"/>
      <c r="J79" s="3"/>
      <c r="K79" s="3"/>
      <c r="L79" s="3"/>
      <c r="M79" s="3"/>
      <c r="N79" s="3"/>
      <c r="O79" s="3"/>
      <c r="P79" s="3"/>
      <c r="Q79" s="3"/>
      <c r="R79" s="3"/>
      <c r="S79" s="3"/>
    </row>
    <row r="80" spans="1:19" x14ac:dyDescent="0.2">
      <c r="A80" s="3"/>
      <c r="B80" s="3"/>
      <c r="C80" s="3"/>
      <c r="D80" s="3"/>
      <c r="E80" s="3"/>
      <c r="F80" s="3"/>
      <c r="G80" s="3"/>
      <c r="H80" s="3"/>
      <c r="I80" s="3"/>
      <c r="J80" s="3"/>
      <c r="K80" s="3"/>
      <c r="L80" s="3"/>
      <c r="M80" s="3"/>
      <c r="N80" s="3"/>
      <c r="O80" s="3"/>
      <c r="P80" s="3"/>
      <c r="Q80" s="3"/>
      <c r="R80" s="3"/>
      <c r="S80" s="3"/>
    </row>
    <row r="81" spans="1:19" x14ac:dyDescent="0.2">
      <c r="A81" s="3"/>
      <c r="B81" s="3"/>
      <c r="C81" s="3"/>
      <c r="D81" s="3"/>
      <c r="E81" s="3"/>
      <c r="F81" s="3"/>
      <c r="G81" s="3"/>
      <c r="H81" s="3"/>
      <c r="I81" s="3"/>
      <c r="J81" s="3"/>
      <c r="K81" s="3"/>
      <c r="L81" s="3"/>
      <c r="M81" s="3"/>
      <c r="N81" s="3"/>
      <c r="O81" s="3"/>
      <c r="P81" s="3"/>
      <c r="Q81" s="3"/>
      <c r="R81" s="3"/>
      <c r="S81" s="3"/>
    </row>
    <row r="82" spans="1:19" x14ac:dyDescent="0.2">
      <c r="A82" s="3"/>
      <c r="E82" s="3"/>
      <c r="F82" s="3"/>
      <c r="G82" s="3"/>
      <c r="H82" s="3"/>
      <c r="I82" s="3"/>
      <c r="J82" s="3"/>
      <c r="K82" s="3"/>
      <c r="L82" s="3"/>
      <c r="M82" s="3"/>
      <c r="N82" s="3"/>
      <c r="O82" s="3"/>
      <c r="P82" s="3"/>
      <c r="Q82" s="3"/>
      <c r="R82" s="3"/>
      <c r="S82" s="3"/>
    </row>
    <row r="83" spans="1:19" x14ac:dyDescent="0.2">
      <c r="A83" s="3"/>
      <c r="E83" s="3"/>
      <c r="F83" s="3"/>
      <c r="G83" s="3"/>
      <c r="H83" s="3"/>
      <c r="I83" s="3"/>
      <c r="J83" s="3"/>
      <c r="K83" s="3"/>
      <c r="L83" s="3"/>
      <c r="M83" s="3"/>
      <c r="N83" s="3"/>
      <c r="O83" s="3"/>
      <c r="P83" s="3"/>
      <c r="Q83" s="3"/>
      <c r="R83" s="3"/>
      <c r="S83" s="3"/>
    </row>
    <row r="84" spans="1:19" x14ac:dyDescent="0.2">
      <c r="A84" s="3"/>
      <c r="E84" s="3"/>
      <c r="F84" s="3"/>
      <c r="G84" s="3"/>
      <c r="H84" s="3"/>
      <c r="I84" s="3"/>
      <c r="J84" s="3"/>
      <c r="K84" s="3"/>
      <c r="L84" s="3"/>
      <c r="M84" s="3"/>
      <c r="N84" s="3"/>
      <c r="O84" s="3"/>
      <c r="P84" s="3"/>
      <c r="Q84" s="3"/>
      <c r="R84" s="3"/>
      <c r="S84" s="3"/>
    </row>
    <row r="85" spans="1:19" x14ac:dyDescent="0.2">
      <c r="A85" s="3"/>
      <c r="E85" s="3"/>
      <c r="F85" s="3"/>
      <c r="G85" s="3"/>
      <c r="H85" s="3"/>
      <c r="I85" s="3"/>
      <c r="J85" s="3"/>
      <c r="K85" s="3"/>
      <c r="L85" s="3"/>
      <c r="M85" s="3"/>
      <c r="N85" s="3"/>
      <c r="O85" s="3"/>
      <c r="P85" s="3"/>
      <c r="Q85" s="3"/>
      <c r="R85" s="3"/>
      <c r="S85" s="3"/>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85"/>
  <sheetViews>
    <sheetView workbookViewId="0">
      <selection sqref="A1:F1"/>
    </sheetView>
  </sheetViews>
  <sheetFormatPr defaultColWidth="9.77734375" defaultRowHeight="14.25" x14ac:dyDescent="0.2"/>
  <cols>
    <col min="1" max="1" width="34.5546875" style="1" bestFit="1" customWidth="1"/>
    <col min="2" max="2" width="14.5546875" style="1" bestFit="1" customWidth="1"/>
    <col min="3" max="3" width="10.88671875" style="1" bestFit="1" customWidth="1"/>
    <col min="4" max="4" width="15" style="1" customWidth="1"/>
    <col min="5" max="5" width="14.88671875" style="1" bestFit="1" customWidth="1"/>
    <col min="6" max="6" width="14.21875" style="1" bestFit="1" customWidth="1"/>
    <col min="7" max="7" width="9.77734375" style="1"/>
    <col min="8" max="8" width="10.33203125" style="1" customWidth="1"/>
    <col min="9" max="10" width="9.77734375" style="1"/>
    <col min="11" max="11" width="10" style="1" bestFit="1" customWidth="1"/>
    <col min="12" max="16384" width="9.77734375" style="1"/>
  </cols>
  <sheetData>
    <row r="1" spans="1:33" ht="15.75" thickBot="1" x14ac:dyDescent="0.3">
      <c r="A1" s="109" t="s">
        <v>133</v>
      </c>
      <c r="B1" s="109"/>
      <c r="C1" s="109"/>
      <c r="D1" s="109"/>
      <c r="E1" s="109"/>
      <c r="F1" s="109"/>
      <c r="G1" s="3"/>
      <c r="H1" s="3"/>
      <c r="I1" s="3"/>
      <c r="J1" s="3"/>
      <c r="K1" s="3"/>
      <c r="L1" s="3"/>
      <c r="M1" s="3"/>
      <c r="N1" s="3"/>
      <c r="O1" s="3"/>
      <c r="P1" s="3"/>
      <c r="Q1" s="3"/>
      <c r="R1" s="3"/>
      <c r="S1" s="3"/>
      <c r="T1" s="3"/>
      <c r="U1" s="3"/>
      <c r="V1" s="3"/>
      <c r="W1" s="3"/>
      <c r="X1" s="3"/>
      <c r="Y1" s="3"/>
      <c r="Z1" s="3"/>
      <c r="AA1" s="3"/>
      <c r="AB1" s="3"/>
      <c r="AC1" s="3"/>
      <c r="AD1" s="3"/>
      <c r="AE1" s="3"/>
      <c r="AF1" s="3"/>
      <c r="AG1" s="3"/>
    </row>
    <row r="2" spans="1:33" ht="30.75" thickBot="1" x14ac:dyDescent="0.3">
      <c r="A2" s="18"/>
      <c r="B2" s="19" t="s">
        <v>134</v>
      </c>
      <c r="C2" s="19" t="s">
        <v>2</v>
      </c>
      <c r="D2" s="19" t="s">
        <v>3</v>
      </c>
      <c r="E2" s="19" t="s">
        <v>4</v>
      </c>
      <c r="F2" s="19" t="s">
        <v>1</v>
      </c>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
      <c r="A3" s="1" t="s">
        <v>87</v>
      </c>
      <c r="B3" s="16">
        <v>14300</v>
      </c>
      <c r="C3" s="16">
        <v>14300</v>
      </c>
      <c r="D3" s="63">
        <v>61.595767329172105</v>
      </c>
      <c r="E3" s="63">
        <f>ROUND(D3*C3,-1)/1000</f>
        <v>880.82</v>
      </c>
      <c r="F3" s="64">
        <f t="shared" ref="F3:F56" si="0">E3/36.744</f>
        <v>23.971804920531245</v>
      </c>
      <c r="G3" s="5"/>
      <c r="H3" s="3"/>
      <c r="J3" s="3"/>
      <c r="K3" s="3"/>
      <c r="L3" s="4"/>
      <c r="M3" s="6"/>
      <c r="N3" s="6"/>
      <c r="O3" s="3"/>
      <c r="P3" s="3"/>
      <c r="Q3" s="3"/>
      <c r="R3" s="3"/>
      <c r="S3" s="3"/>
      <c r="T3" s="3"/>
      <c r="U3" s="3"/>
      <c r="V3" s="3"/>
      <c r="W3" s="3"/>
      <c r="X3" s="3"/>
      <c r="Y3" s="3"/>
      <c r="Z3" s="3"/>
      <c r="AA3" s="3"/>
      <c r="AB3" s="3"/>
      <c r="AC3" s="3"/>
      <c r="AD3" s="3"/>
      <c r="AE3" s="3"/>
      <c r="AF3" s="3"/>
      <c r="AG3" s="3"/>
    </row>
    <row r="4" spans="1:33" x14ac:dyDescent="0.2">
      <c r="A4" s="1" t="s">
        <v>88</v>
      </c>
      <c r="B4" s="16">
        <v>90500</v>
      </c>
      <c r="C4" s="16">
        <v>90500</v>
      </c>
      <c r="D4" s="63">
        <v>76.179273570139856</v>
      </c>
      <c r="E4" s="63">
        <f t="shared" ref="E4:E56" si="1">ROUND(D4*C4,-1)/1000</f>
        <v>6894.22</v>
      </c>
      <c r="F4" s="64">
        <f t="shared" si="0"/>
        <v>187.62845634661443</v>
      </c>
      <c r="G4" s="5"/>
      <c r="H4" s="3"/>
      <c r="J4" s="3"/>
      <c r="K4" s="3"/>
      <c r="L4" s="4"/>
      <c r="M4" s="6"/>
      <c r="N4" s="6"/>
      <c r="O4" s="3"/>
      <c r="P4" s="3"/>
      <c r="Q4" s="3"/>
      <c r="R4" s="3"/>
      <c r="S4" s="3"/>
      <c r="T4" s="3"/>
      <c r="U4" s="3"/>
      <c r="V4" s="3"/>
      <c r="W4" s="3"/>
      <c r="X4" s="3"/>
      <c r="Y4" s="3"/>
      <c r="Z4" s="3"/>
      <c r="AA4" s="3"/>
      <c r="AB4" s="3"/>
      <c r="AC4" s="3"/>
      <c r="AD4" s="3"/>
      <c r="AE4" s="3"/>
      <c r="AF4" s="3"/>
      <c r="AG4" s="3"/>
    </row>
    <row r="5" spans="1:33" x14ac:dyDescent="0.2">
      <c r="A5" s="1" t="s">
        <v>89</v>
      </c>
      <c r="B5" s="16">
        <v>36000</v>
      </c>
      <c r="C5" s="16">
        <v>36000</v>
      </c>
      <c r="D5" s="63">
        <v>73.3333929342906</v>
      </c>
      <c r="E5" s="63">
        <f t="shared" si="1"/>
        <v>2640</v>
      </c>
      <c r="F5" s="64">
        <f t="shared" si="0"/>
        <v>71.84846505551927</v>
      </c>
      <c r="G5" s="5"/>
      <c r="H5" s="3"/>
      <c r="J5" s="3"/>
      <c r="K5" s="3"/>
      <c r="L5" s="4"/>
      <c r="M5" s="6"/>
      <c r="N5" s="6"/>
      <c r="O5" s="3"/>
      <c r="P5" s="3"/>
      <c r="Q5" s="3"/>
      <c r="R5" s="3"/>
      <c r="S5" s="3"/>
      <c r="T5" s="3"/>
      <c r="U5" s="3"/>
      <c r="V5" s="3"/>
      <c r="W5" s="3"/>
      <c r="X5" s="3"/>
      <c r="Y5" s="3"/>
      <c r="Z5" s="3"/>
      <c r="AA5" s="3"/>
      <c r="AB5" s="3"/>
      <c r="AC5" s="3"/>
      <c r="AD5" s="3"/>
      <c r="AE5" s="3"/>
      <c r="AF5" s="3"/>
      <c r="AG5" s="3"/>
    </row>
    <row r="6" spans="1:33" x14ac:dyDescent="0.2">
      <c r="A6" s="1" t="s">
        <v>90</v>
      </c>
      <c r="B6" s="16">
        <v>48300</v>
      </c>
      <c r="C6" s="16">
        <v>48300</v>
      </c>
      <c r="D6" s="63">
        <v>66.20338498193064</v>
      </c>
      <c r="E6" s="63">
        <f t="shared" si="1"/>
        <v>3197.62</v>
      </c>
      <c r="F6" s="64">
        <f t="shared" si="0"/>
        <v>87.024276072283911</v>
      </c>
      <c r="G6" s="5"/>
      <c r="H6" s="3"/>
      <c r="J6" s="3"/>
      <c r="K6" s="3"/>
      <c r="L6" s="4"/>
      <c r="M6" s="6"/>
      <c r="N6" s="6"/>
      <c r="O6" s="3"/>
      <c r="P6" s="3"/>
      <c r="Q6" s="3"/>
      <c r="R6" s="3"/>
      <c r="S6" s="3"/>
      <c r="T6" s="3"/>
      <c r="U6" s="3"/>
      <c r="V6" s="3"/>
      <c r="W6" s="3"/>
      <c r="X6" s="3"/>
      <c r="Y6" s="3"/>
      <c r="Z6" s="3"/>
      <c r="AA6" s="3"/>
      <c r="AB6" s="3"/>
      <c r="AC6" s="3"/>
      <c r="AD6" s="3"/>
      <c r="AE6" s="3"/>
      <c r="AF6" s="3"/>
      <c r="AG6" s="3"/>
    </row>
    <row r="7" spans="1:33" x14ac:dyDescent="0.2">
      <c r="A7" s="1" t="s">
        <v>91</v>
      </c>
      <c r="B7" s="16">
        <v>27900</v>
      </c>
      <c r="C7" s="16">
        <v>27900</v>
      </c>
      <c r="D7" s="63">
        <v>63.467750625049447</v>
      </c>
      <c r="E7" s="63">
        <f t="shared" si="1"/>
        <v>1770.75</v>
      </c>
      <c r="F7" s="64">
        <f t="shared" si="0"/>
        <v>48.191541476159372</v>
      </c>
      <c r="G7" s="5"/>
      <c r="H7" s="3"/>
      <c r="J7" s="3"/>
      <c r="K7" s="3"/>
      <c r="L7" s="4"/>
      <c r="M7" s="6"/>
      <c r="N7" s="6"/>
      <c r="O7" s="3"/>
      <c r="P7" s="3"/>
      <c r="Q7" s="3"/>
      <c r="R7" s="3"/>
      <c r="S7" s="3"/>
      <c r="T7" s="3"/>
      <c r="U7" s="3"/>
      <c r="V7" s="3"/>
      <c r="W7" s="3"/>
      <c r="X7" s="3"/>
      <c r="Y7" s="3"/>
      <c r="Z7" s="3"/>
      <c r="AA7" s="3"/>
      <c r="AB7" s="3"/>
      <c r="AC7" s="3"/>
      <c r="AD7" s="3"/>
      <c r="AE7" s="3"/>
      <c r="AF7" s="3"/>
      <c r="AG7" s="3"/>
    </row>
    <row r="8" spans="1:33" x14ac:dyDescent="0.2">
      <c r="A8" s="1" t="s">
        <v>92</v>
      </c>
      <c r="B8" s="16">
        <v>10800</v>
      </c>
      <c r="C8" s="16">
        <v>10800</v>
      </c>
      <c r="D8" s="63">
        <v>59.305502629655663</v>
      </c>
      <c r="E8" s="63">
        <f t="shared" si="1"/>
        <v>640.5</v>
      </c>
      <c r="F8" s="64">
        <f t="shared" si="0"/>
        <v>17.431417374265187</v>
      </c>
      <c r="G8" s="5"/>
      <c r="H8" s="3"/>
      <c r="J8" s="3"/>
      <c r="K8" s="3"/>
      <c r="L8" s="4"/>
      <c r="M8" s="6"/>
      <c r="N8" s="6"/>
      <c r="O8" s="3"/>
      <c r="P8" s="3"/>
      <c r="Q8" s="3"/>
      <c r="R8" s="3"/>
      <c r="S8" s="3"/>
      <c r="T8" s="3"/>
      <c r="U8" s="3"/>
      <c r="V8" s="3"/>
      <c r="W8" s="3"/>
      <c r="X8" s="3"/>
      <c r="Y8" s="3"/>
      <c r="Z8" s="3"/>
      <c r="AA8" s="3"/>
      <c r="AB8" s="3"/>
      <c r="AC8" s="3"/>
      <c r="AD8" s="3"/>
      <c r="AE8" s="3"/>
      <c r="AF8" s="3"/>
      <c r="AG8" s="3"/>
    </row>
    <row r="9" spans="1:33" x14ac:dyDescent="0.2">
      <c r="A9" s="1" t="s">
        <v>93</v>
      </c>
      <c r="B9" s="16">
        <v>107600</v>
      </c>
      <c r="C9" s="16">
        <v>107600</v>
      </c>
      <c r="D9" s="63">
        <v>74.366718400310674</v>
      </c>
      <c r="E9" s="63">
        <f t="shared" si="1"/>
        <v>8001.86</v>
      </c>
      <c r="F9" s="64">
        <f t="shared" si="0"/>
        <v>217.77324188983235</v>
      </c>
      <c r="G9" s="5"/>
      <c r="H9" s="3"/>
      <c r="J9" s="3"/>
      <c r="K9" s="3"/>
      <c r="L9" s="4"/>
      <c r="M9" s="6"/>
      <c r="N9" s="6"/>
      <c r="O9" s="3"/>
      <c r="P9" s="3"/>
      <c r="Q9" s="3"/>
      <c r="R9" s="3"/>
      <c r="S9" s="3"/>
      <c r="T9" s="3"/>
      <c r="U9" s="3"/>
      <c r="V9" s="3"/>
      <c r="W9" s="3"/>
      <c r="X9" s="3"/>
      <c r="Y9" s="3"/>
      <c r="Z9" s="3"/>
      <c r="AA9" s="3"/>
      <c r="AB9" s="3"/>
      <c r="AC9" s="3"/>
      <c r="AD9" s="3"/>
      <c r="AE9" s="3"/>
      <c r="AF9" s="3"/>
      <c r="AG9" s="3"/>
    </row>
    <row r="10" spans="1:33" x14ac:dyDescent="0.2">
      <c r="A10" s="1" t="s">
        <v>94</v>
      </c>
      <c r="B10" s="16">
        <v>76500</v>
      </c>
      <c r="C10" s="16">
        <v>76500</v>
      </c>
      <c r="D10" s="63">
        <v>79.705624657375125</v>
      </c>
      <c r="E10" s="63">
        <f t="shared" si="1"/>
        <v>6097.48</v>
      </c>
      <c r="F10" s="64">
        <f t="shared" si="0"/>
        <v>165.94491617679077</v>
      </c>
      <c r="G10" s="3"/>
      <c r="H10" s="3"/>
      <c r="J10" s="3"/>
      <c r="K10" s="3"/>
      <c r="L10" s="3"/>
      <c r="M10" s="3"/>
      <c r="N10" s="3"/>
      <c r="O10" s="3"/>
      <c r="P10" s="3"/>
      <c r="Q10" s="3"/>
      <c r="R10" s="3"/>
      <c r="S10" s="3"/>
      <c r="T10" s="3"/>
      <c r="U10" s="3"/>
      <c r="V10" s="3"/>
      <c r="W10" s="3"/>
      <c r="X10" s="3"/>
      <c r="Y10" s="3"/>
      <c r="Z10" s="3"/>
      <c r="AA10" s="3"/>
      <c r="AB10" s="3"/>
      <c r="AC10" s="3"/>
      <c r="AD10" s="3"/>
      <c r="AE10" s="3"/>
      <c r="AF10" s="3"/>
      <c r="AG10" s="3"/>
    </row>
    <row r="11" spans="1:33" x14ac:dyDescent="0.2">
      <c r="A11" s="1" t="s">
        <v>95</v>
      </c>
      <c r="B11" s="16">
        <v>19100</v>
      </c>
      <c r="C11" s="16">
        <v>19100</v>
      </c>
      <c r="D11" s="63">
        <v>59.090860914130815</v>
      </c>
      <c r="E11" s="63">
        <f t="shared" si="1"/>
        <v>1128.6400000000001</v>
      </c>
      <c r="F11" s="64">
        <f t="shared" si="0"/>
        <v>30.716307424341391</v>
      </c>
      <c r="G11" s="5"/>
      <c r="H11" s="3"/>
      <c r="J11" s="8"/>
      <c r="K11" s="3"/>
      <c r="L11" s="4"/>
      <c r="M11" s="6"/>
      <c r="N11" s="6"/>
      <c r="O11" s="3"/>
      <c r="P11" s="3"/>
      <c r="Q11" s="3"/>
      <c r="R11" s="3"/>
      <c r="S11" s="3"/>
      <c r="T11" s="3"/>
      <c r="U11" s="3"/>
      <c r="V11" s="3"/>
      <c r="W11" s="3"/>
      <c r="X11" s="3"/>
      <c r="Y11" s="3"/>
      <c r="Z11" s="3"/>
      <c r="AA11" s="3"/>
      <c r="AB11" s="3"/>
      <c r="AC11" s="3"/>
      <c r="AD11" s="3"/>
      <c r="AE11" s="3"/>
      <c r="AF11" s="3"/>
      <c r="AG11" s="3"/>
    </row>
    <row r="12" spans="1:33" x14ac:dyDescent="0.2">
      <c r="A12" s="1" t="s">
        <v>96</v>
      </c>
      <c r="B12" s="16">
        <v>42700</v>
      </c>
      <c r="C12" s="16">
        <v>42700</v>
      </c>
      <c r="D12" s="63">
        <v>80.506799865827489</v>
      </c>
      <c r="E12" s="63">
        <f t="shared" si="1"/>
        <v>3437.64</v>
      </c>
      <c r="F12" s="64">
        <f t="shared" si="0"/>
        <v>93.556499020248197</v>
      </c>
      <c r="G12" s="3"/>
      <c r="H12" s="3"/>
      <c r="J12" s="3"/>
      <c r="K12" s="3"/>
      <c r="L12" s="3"/>
      <c r="M12" s="3"/>
      <c r="N12" s="3"/>
      <c r="O12" s="3"/>
      <c r="P12" s="3"/>
      <c r="Q12" s="3"/>
      <c r="R12" s="3"/>
      <c r="S12" s="3"/>
      <c r="T12" s="3"/>
      <c r="U12" s="3"/>
      <c r="V12" s="3"/>
      <c r="W12" s="3"/>
      <c r="X12" s="3"/>
      <c r="Y12" s="3"/>
      <c r="Z12" s="3"/>
      <c r="AA12" s="3"/>
      <c r="AB12" s="3"/>
      <c r="AC12" s="3"/>
      <c r="AD12" s="3"/>
      <c r="AE12" s="3"/>
      <c r="AF12" s="3"/>
      <c r="AG12" s="3"/>
    </row>
    <row r="13" spans="1:33" ht="15" x14ac:dyDescent="0.25">
      <c r="A13" s="17" t="s">
        <v>135</v>
      </c>
      <c r="B13" s="65">
        <v>473700</v>
      </c>
      <c r="C13" s="65">
        <v>473700</v>
      </c>
      <c r="D13" s="66">
        <v>73.232003377665194</v>
      </c>
      <c r="E13" s="67">
        <f t="shared" si="1"/>
        <v>34690</v>
      </c>
      <c r="F13" s="68">
        <f t="shared" si="0"/>
        <v>944.09971696059222</v>
      </c>
      <c r="G13" s="73"/>
      <c r="H13" s="9"/>
      <c r="J13" s="9"/>
      <c r="K13" s="9"/>
      <c r="L13" s="11"/>
      <c r="M13" s="10"/>
      <c r="N13" s="10"/>
      <c r="O13" s="9"/>
      <c r="P13" s="9"/>
      <c r="Q13" s="9"/>
      <c r="R13" s="9"/>
      <c r="S13" s="9"/>
      <c r="T13" s="9"/>
      <c r="U13" s="3"/>
      <c r="V13" s="3"/>
      <c r="W13" s="3"/>
      <c r="X13" s="3"/>
      <c r="Y13" s="3"/>
      <c r="Z13" s="3"/>
      <c r="AA13" s="3"/>
      <c r="AB13" s="3"/>
      <c r="AC13" s="3"/>
      <c r="AD13" s="3"/>
      <c r="AE13" s="3"/>
      <c r="AF13" s="3"/>
      <c r="AG13" s="3"/>
    </row>
    <row r="14" spans="1:33" x14ac:dyDescent="0.2">
      <c r="A14" s="1" t="s">
        <v>97</v>
      </c>
      <c r="B14" s="16">
        <v>28200</v>
      </c>
      <c r="C14" s="16">
        <v>28200</v>
      </c>
      <c r="D14" s="63">
        <v>72.1295416743842</v>
      </c>
      <c r="E14" s="63">
        <f t="shared" si="1"/>
        <v>2034.05</v>
      </c>
      <c r="F14" s="64">
        <f t="shared" si="0"/>
        <v>55.357337252340514</v>
      </c>
      <c r="G14" s="5"/>
      <c r="H14" s="3"/>
      <c r="J14" s="3"/>
      <c r="K14" s="3"/>
      <c r="L14" s="4"/>
      <c r="M14" s="6"/>
      <c r="N14" s="6"/>
      <c r="O14" s="3"/>
      <c r="P14" s="3"/>
      <c r="Q14" s="3"/>
      <c r="R14" s="3"/>
      <c r="S14" s="3"/>
      <c r="T14" s="3"/>
      <c r="U14" s="3"/>
      <c r="V14" s="3"/>
      <c r="W14" s="3"/>
      <c r="X14" s="3"/>
      <c r="Y14" s="3"/>
      <c r="Z14" s="3"/>
      <c r="AA14" s="3"/>
      <c r="AB14" s="3"/>
      <c r="AC14" s="3"/>
      <c r="AD14" s="3"/>
      <c r="AE14" s="3"/>
      <c r="AF14" s="3"/>
      <c r="AG14" s="3"/>
    </row>
    <row r="15" spans="1:33" x14ac:dyDescent="0.2">
      <c r="A15" s="1" t="s">
        <v>98</v>
      </c>
      <c r="B15" s="16">
        <v>5500</v>
      </c>
      <c r="C15" s="16">
        <v>5500</v>
      </c>
      <c r="D15" s="63">
        <v>61.332396028040165</v>
      </c>
      <c r="E15" s="63">
        <f t="shared" si="1"/>
        <v>337.33</v>
      </c>
      <c r="F15" s="64">
        <f t="shared" si="0"/>
        <v>9.1805464837796649</v>
      </c>
      <c r="G15" s="5"/>
      <c r="H15" s="3"/>
      <c r="J15" s="3"/>
      <c r="K15" s="3"/>
      <c r="L15" s="4"/>
      <c r="M15" s="6"/>
      <c r="N15" s="6"/>
      <c r="O15" s="3"/>
      <c r="P15" s="3"/>
      <c r="Q15" s="3"/>
      <c r="R15" s="3"/>
      <c r="S15" s="3"/>
      <c r="T15" s="3"/>
      <c r="U15" s="3"/>
      <c r="V15" s="3"/>
      <c r="W15" s="3"/>
      <c r="X15" s="3"/>
      <c r="Y15" s="3"/>
      <c r="Z15" s="3"/>
      <c r="AA15" s="3"/>
      <c r="AB15" s="3"/>
      <c r="AC15" s="3"/>
      <c r="AD15" s="3"/>
      <c r="AE15" s="3"/>
      <c r="AF15" s="3"/>
      <c r="AG15" s="3"/>
    </row>
    <row r="16" spans="1:33" x14ac:dyDescent="0.2">
      <c r="A16" s="1" t="s">
        <v>99</v>
      </c>
      <c r="B16" s="16">
        <v>6200</v>
      </c>
      <c r="C16" s="16">
        <v>6200</v>
      </c>
      <c r="D16" s="63">
        <v>59.323949204619055</v>
      </c>
      <c r="E16" s="63">
        <f t="shared" si="1"/>
        <v>367.81</v>
      </c>
      <c r="F16" s="64">
        <f t="shared" si="0"/>
        <v>10.010069671238842</v>
      </c>
      <c r="G16" s="5"/>
      <c r="H16" s="3"/>
      <c r="J16" s="3"/>
      <c r="K16" s="3"/>
      <c r="L16" s="4"/>
      <c r="M16" s="6"/>
      <c r="N16" s="6"/>
      <c r="O16" s="3"/>
      <c r="P16" s="3"/>
      <c r="Q16" s="3"/>
      <c r="R16" s="3"/>
      <c r="S16" s="3"/>
      <c r="T16" s="3"/>
      <c r="U16" s="3"/>
      <c r="V16" s="3"/>
      <c r="W16" s="3"/>
      <c r="X16" s="3"/>
      <c r="Y16" s="3"/>
      <c r="Z16" s="3"/>
      <c r="AA16" s="3"/>
      <c r="AB16" s="3"/>
      <c r="AC16" s="3"/>
      <c r="AD16" s="3"/>
      <c r="AE16" s="3"/>
      <c r="AF16" s="3"/>
      <c r="AG16" s="3"/>
    </row>
    <row r="17" spans="1:33" x14ac:dyDescent="0.2">
      <c r="A17" s="1" t="s">
        <v>100</v>
      </c>
      <c r="B17" s="16">
        <v>9500</v>
      </c>
      <c r="C17" s="16">
        <v>9500</v>
      </c>
      <c r="D17" s="63">
        <v>55.100459090989915</v>
      </c>
      <c r="E17" s="63">
        <f t="shared" si="1"/>
        <v>523.45000000000005</v>
      </c>
      <c r="F17" s="64">
        <f t="shared" si="0"/>
        <v>14.245863270193775</v>
      </c>
      <c r="G17" s="5"/>
      <c r="H17" s="3"/>
      <c r="J17" s="3"/>
      <c r="K17" s="3"/>
      <c r="L17" s="4"/>
      <c r="M17" s="6"/>
      <c r="N17" s="6"/>
      <c r="O17" s="3"/>
      <c r="P17" s="3"/>
      <c r="Q17" s="3"/>
      <c r="R17" s="3"/>
      <c r="S17" s="3"/>
      <c r="T17" s="3"/>
      <c r="U17" s="3"/>
      <c r="V17" s="3"/>
      <c r="W17" s="3"/>
      <c r="X17" s="3"/>
      <c r="Y17" s="3"/>
      <c r="Z17" s="3"/>
      <c r="AA17" s="3"/>
      <c r="AB17" s="3"/>
      <c r="AC17" s="3"/>
      <c r="AD17" s="3"/>
      <c r="AE17" s="3"/>
      <c r="AF17" s="3"/>
      <c r="AG17" s="3"/>
    </row>
    <row r="18" spans="1:33" x14ac:dyDescent="0.2">
      <c r="A18" s="1" t="s">
        <v>101</v>
      </c>
      <c r="B18" s="16">
        <v>81600</v>
      </c>
      <c r="C18" s="16">
        <v>81600</v>
      </c>
      <c r="D18" s="63">
        <v>75.759577633463721</v>
      </c>
      <c r="E18" s="63">
        <f t="shared" si="1"/>
        <v>6181.98</v>
      </c>
      <c r="F18" s="64">
        <f t="shared" si="0"/>
        <v>168.24461136512082</v>
      </c>
      <c r="G18" s="5"/>
      <c r="H18" s="3"/>
      <c r="J18" s="3"/>
      <c r="K18" s="3"/>
      <c r="L18" s="4"/>
      <c r="M18" s="6"/>
      <c r="N18" s="6"/>
      <c r="O18" s="3"/>
      <c r="P18" s="3"/>
      <c r="Q18" s="3"/>
      <c r="R18" s="3"/>
      <c r="S18" s="3"/>
      <c r="T18" s="3"/>
      <c r="U18" s="3"/>
      <c r="V18" s="3"/>
      <c r="W18" s="3"/>
      <c r="X18" s="3"/>
      <c r="Y18" s="3"/>
      <c r="Z18" s="3"/>
      <c r="AA18" s="3"/>
      <c r="AB18" s="3"/>
      <c r="AC18" s="3"/>
      <c r="AD18" s="3"/>
      <c r="AE18" s="3"/>
      <c r="AF18" s="3"/>
      <c r="AG18" s="3"/>
    </row>
    <row r="19" spans="1:33" x14ac:dyDescent="0.2">
      <c r="A19" s="1" t="s">
        <v>102</v>
      </c>
      <c r="B19" s="16">
        <v>4600</v>
      </c>
      <c r="C19" s="16">
        <v>4600</v>
      </c>
      <c r="D19" s="63">
        <v>55.865091346688786</v>
      </c>
      <c r="E19" s="63">
        <f t="shared" si="1"/>
        <v>256.98</v>
      </c>
      <c r="F19" s="64">
        <f t="shared" si="0"/>
        <v>6.9937949052906605</v>
      </c>
      <c r="G19" s="5"/>
      <c r="H19" s="3"/>
      <c r="J19" s="3"/>
      <c r="K19" s="3"/>
      <c r="L19" s="4"/>
      <c r="M19" s="6"/>
      <c r="N19" s="6"/>
      <c r="O19" s="3"/>
      <c r="P19" s="3"/>
      <c r="Q19" s="3"/>
      <c r="R19" s="3"/>
      <c r="S19" s="3"/>
      <c r="T19" s="3"/>
      <c r="U19" s="3"/>
      <c r="V19" s="3"/>
      <c r="W19" s="3"/>
      <c r="X19" s="3"/>
      <c r="Y19" s="3"/>
      <c r="Z19" s="3"/>
      <c r="AA19" s="3"/>
      <c r="AB19" s="3"/>
      <c r="AC19" s="3"/>
      <c r="AD19" s="3"/>
      <c r="AE19" s="3"/>
      <c r="AF19" s="3"/>
      <c r="AG19" s="3"/>
    </row>
    <row r="20" spans="1:33" x14ac:dyDescent="0.2">
      <c r="A20" s="1" t="s">
        <v>103</v>
      </c>
      <c r="B20" s="16">
        <v>57400</v>
      </c>
      <c r="C20" s="16">
        <v>57400</v>
      </c>
      <c r="D20" s="63">
        <v>81.247520696327385</v>
      </c>
      <c r="E20" s="63">
        <f t="shared" si="1"/>
        <v>4663.6099999999997</v>
      </c>
      <c r="F20" s="64">
        <f t="shared" si="0"/>
        <v>126.92167428695841</v>
      </c>
      <c r="G20" s="5"/>
      <c r="H20" s="3"/>
      <c r="J20" s="3"/>
      <c r="K20" s="3"/>
      <c r="L20" s="4"/>
      <c r="M20" s="6"/>
      <c r="N20" s="6"/>
      <c r="O20" s="3"/>
      <c r="P20" s="3"/>
      <c r="Q20" s="3"/>
      <c r="R20" s="3"/>
      <c r="S20" s="3"/>
      <c r="T20" s="3"/>
      <c r="U20" s="3"/>
      <c r="V20" s="3"/>
      <c r="W20" s="3"/>
      <c r="X20" s="3"/>
      <c r="Y20" s="3"/>
      <c r="Z20" s="3"/>
      <c r="AA20" s="3"/>
      <c r="AB20" s="3"/>
      <c r="AC20" s="3"/>
      <c r="AD20" s="3"/>
      <c r="AE20" s="3"/>
      <c r="AF20" s="3"/>
      <c r="AG20" s="3"/>
    </row>
    <row r="21" spans="1:33" x14ac:dyDescent="0.2">
      <c r="A21" s="1" t="s">
        <v>104</v>
      </c>
      <c r="B21" s="16">
        <v>37400</v>
      </c>
      <c r="C21" s="16">
        <v>37400</v>
      </c>
      <c r="D21" s="63">
        <v>55.723076347828979</v>
      </c>
      <c r="E21" s="63">
        <f t="shared" si="1"/>
        <v>2084.04</v>
      </c>
      <c r="F21" s="64">
        <f t="shared" si="0"/>
        <v>56.717831482691054</v>
      </c>
      <c r="G21" s="3"/>
      <c r="H21" s="3"/>
      <c r="J21" s="3"/>
      <c r="K21" s="3"/>
      <c r="L21" s="3"/>
      <c r="M21" s="3"/>
      <c r="N21" s="3"/>
      <c r="O21" s="3"/>
      <c r="P21" s="3"/>
      <c r="Q21" s="3"/>
      <c r="R21" s="3"/>
      <c r="S21" s="3"/>
      <c r="T21" s="3"/>
      <c r="U21" s="3"/>
      <c r="V21" s="3"/>
      <c r="W21" s="3"/>
      <c r="X21" s="3"/>
      <c r="Y21" s="3"/>
      <c r="Z21" s="3"/>
      <c r="AA21" s="3"/>
      <c r="AB21" s="3"/>
      <c r="AC21" s="3"/>
      <c r="AD21" s="3"/>
      <c r="AE21" s="3"/>
      <c r="AF21" s="3"/>
      <c r="AG21" s="3"/>
    </row>
    <row r="22" spans="1:33" x14ac:dyDescent="0.2">
      <c r="A22" s="1" t="s">
        <v>105</v>
      </c>
      <c r="B22" s="16">
        <v>15600</v>
      </c>
      <c r="C22" s="16">
        <v>15600</v>
      </c>
      <c r="D22" s="63">
        <v>63.427081015323431</v>
      </c>
      <c r="E22" s="63">
        <f t="shared" si="1"/>
        <v>989.46</v>
      </c>
      <c r="F22" s="64">
        <f t="shared" si="0"/>
        <v>26.928478118876551</v>
      </c>
      <c r="G22" s="5"/>
      <c r="H22" s="3"/>
      <c r="J22" s="8"/>
      <c r="K22" s="3"/>
      <c r="L22" s="4"/>
      <c r="M22" s="6"/>
      <c r="N22" s="6"/>
      <c r="O22" s="3"/>
      <c r="P22" s="3"/>
      <c r="Q22" s="3"/>
      <c r="R22" s="3"/>
      <c r="S22" s="3"/>
      <c r="T22" s="3"/>
      <c r="U22" s="3"/>
      <c r="V22" s="3"/>
      <c r="W22" s="3"/>
      <c r="X22" s="3"/>
      <c r="Y22" s="3"/>
      <c r="Z22" s="3"/>
      <c r="AA22" s="3"/>
      <c r="AB22" s="3"/>
      <c r="AC22" s="3"/>
      <c r="AD22" s="3"/>
      <c r="AE22" s="3"/>
      <c r="AF22" s="3"/>
      <c r="AG22" s="3"/>
    </row>
    <row r="23" spans="1:33" x14ac:dyDescent="0.2">
      <c r="A23" s="1" t="s">
        <v>106</v>
      </c>
      <c r="B23" s="16">
        <v>34800</v>
      </c>
      <c r="C23" s="16">
        <v>34800</v>
      </c>
      <c r="D23" s="63">
        <v>66.354873650367068</v>
      </c>
      <c r="E23" s="63">
        <f t="shared" si="1"/>
        <v>2309.15</v>
      </c>
      <c r="F23" s="64">
        <f t="shared" si="0"/>
        <v>62.844273895057697</v>
      </c>
      <c r="G23" s="3"/>
      <c r="H23" s="3"/>
      <c r="J23" s="3"/>
      <c r="K23" s="3"/>
      <c r="L23" s="3"/>
      <c r="M23" s="3"/>
      <c r="N23" s="3"/>
      <c r="O23" s="3"/>
      <c r="P23" s="3"/>
      <c r="Q23" s="3"/>
      <c r="R23" s="3"/>
      <c r="S23" s="3"/>
      <c r="T23" s="3"/>
      <c r="U23" s="3"/>
      <c r="V23" s="3"/>
      <c r="W23" s="3"/>
      <c r="X23" s="3"/>
      <c r="Y23" s="3"/>
      <c r="Z23" s="3"/>
      <c r="AA23" s="3"/>
      <c r="AB23" s="3"/>
      <c r="AC23" s="3"/>
      <c r="AD23" s="3"/>
      <c r="AE23" s="3"/>
      <c r="AF23" s="3"/>
      <c r="AG23" s="3"/>
    </row>
    <row r="24" spans="1:33" ht="15" x14ac:dyDescent="0.25">
      <c r="A24" s="17" t="s">
        <v>136</v>
      </c>
      <c r="B24" s="65">
        <v>280800</v>
      </c>
      <c r="C24" s="65">
        <v>280800</v>
      </c>
      <c r="D24" s="66">
        <v>70.324074074074076</v>
      </c>
      <c r="E24" s="67">
        <f t="shared" si="1"/>
        <v>19747</v>
      </c>
      <c r="F24" s="68">
        <f t="shared" si="0"/>
        <v>537.42107554974962</v>
      </c>
      <c r="G24" s="10"/>
      <c r="H24" s="9"/>
      <c r="J24" s="10"/>
      <c r="K24" s="9"/>
      <c r="L24" s="10"/>
      <c r="M24" s="6"/>
      <c r="N24" s="6"/>
      <c r="O24" s="3"/>
      <c r="P24" s="3"/>
      <c r="Q24" s="3"/>
      <c r="R24" s="3"/>
      <c r="S24" s="3"/>
      <c r="T24" s="3"/>
      <c r="U24" s="3"/>
      <c r="V24" s="3"/>
      <c r="W24" s="3"/>
      <c r="X24" s="3"/>
      <c r="Y24" s="3"/>
      <c r="Z24" s="3"/>
      <c r="AA24" s="3"/>
      <c r="AB24" s="3"/>
      <c r="AC24" s="3"/>
      <c r="AD24" s="3"/>
      <c r="AE24" s="3"/>
      <c r="AF24" s="3"/>
      <c r="AG24" s="3"/>
    </row>
    <row r="25" spans="1:33" x14ac:dyDescent="0.2">
      <c r="A25" s="1" t="s">
        <v>107</v>
      </c>
      <c r="B25" s="16">
        <v>21700</v>
      </c>
      <c r="C25" s="16">
        <v>21700</v>
      </c>
      <c r="D25" s="63">
        <v>46.113340560662806</v>
      </c>
      <c r="E25" s="63">
        <f t="shared" si="1"/>
        <v>1000.66</v>
      </c>
      <c r="F25" s="64">
        <f t="shared" si="0"/>
        <v>27.233289788809056</v>
      </c>
      <c r="G25" s="6"/>
      <c r="H25" s="3"/>
      <c r="J25" s="6"/>
      <c r="K25" s="3"/>
      <c r="L25" s="6"/>
      <c r="M25" s="6"/>
      <c r="N25" s="6"/>
      <c r="O25" s="3"/>
      <c r="P25" s="3"/>
      <c r="Q25" s="3"/>
      <c r="R25" s="3"/>
      <c r="S25" s="3"/>
      <c r="T25" s="3"/>
      <c r="U25" s="3"/>
      <c r="V25" s="3"/>
      <c r="W25" s="3"/>
      <c r="X25" s="3"/>
      <c r="Y25" s="3"/>
      <c r="Z25" s="3"/>
      <c r="AA25" s="3"/>
      <c r="AB25" s="3"/>
      <c r="AC25" s="3"/>
      <c r="AD25" s="3"/>
      <c r="AE25" s="3"/>
      <c r="AF25" s="3"/>
      <c r="AG25" s="3"/>
    </row>
    <row r="26" spans="1:33" x14ac:dyDescent="0.2">
      <c r="A26" s="1" t="s">
        <v>108</v>
      </c>
      <c r="B26" s="69" t="s">
        <v>64</v>
      </c>
      <c r="C26" s="69" t="s">
        <v>64</v>
      </c>
      <c r="D26" s="69" t="s">
        <v>64</v>
      </c>
      <c r="E26" s="69" t="s">
        <v>64</v>
      </c>
      <c r="F26" s="69" t="s">
        <v>64</v>
      </c>
      <c r="G26" s="5"/>
      <c r="H26" s="3"/>
      <c r="J26" s="3"/>
      <c r="K26" s="3"/>
      <c r="L26" s="4"/>
      <c r="M26" s="6"/>
      <c r="N26" s="6"/>
      <c r="O26" s="3"/>
      <c r="P26" s="3"/>
      <c r="Q26" s="3"/>
      <c r="R26" s="3"/>
      <c r="S26" s="3"/>
      <c r="T26" s="3"/>
      <c r="U26" s="3"/>
      <c r="V26" s="3"/>
      <c r="W26" s="3"/>
      <c r="X26" s="3"/>
      <c r="Y26" s="3"/>
      <c r="Z26" s="3"/>
      <c r="AA26" s="3"/>
      <c r="AB26" s="3"/>
      <c r="AC26" s="3"/>
      <c r="AD26" s="3"/>
      <c r="AE26" s="3"/>
      <c r="AF26" s="3"/>
      <c r="AG26" s="3"/>
    </row>
    <row r="27" spans="1:33" x14ac:dyDescent="0.2">
      <c r="A27" s="1" t="s">
        <v>109</v>
      </c>
      <c r="B27" s="16">
        <v>3500</v>
      </c>
      <c r="C27" s="16">
        <v>3500</v>
      </c>
      <c r="D27" s="63">
        <v>43.767179869040589</v>
      </c>
      <c r="E27" s="63">
        <f t="shared" si="1"/>
        <v>153.19</v>
      </c>
      <c r="F27" s="64">
        <f t="shared" si="0"/>
        <v>4.1691160461571961</v>
      </c>
      <c r="G27" s="5"/>
      <c r="H27" s="3"/>
      <c r="J27" s="6"/>
      <c r="K27" s="3"/>
      <c r="L27" s="6"/>
      <c r="M27" s="5"/>
      <c r="N27" s="6"/>
      <c r="O27" s="3"/>
      <c r="P27" s="3"/>
      <c r="Q27" s="3"/>
      <c r="R27" s="3"/>
      <c r="S27" s="3"/>
      <c r="T27" s="3"/>
      <c r="U27" s="3"/>
      <c r="V27" s="3"/>
      <c r="W27" s="3"/>
      <c r="X27" s="3"/>
      <c r="Y27" s="3"/>
      <c r="Z27" s="3"/>
      <c r="AA27" s="3"/>
      <c r="AB27" s="3"/>
      <c r="AC27" s="3"/>
      <c r="AD27" s="3"/>
      <c r="AE27" s="3"/>
      <c r="AF27" s="3"/>
      <c r="AG27" s="3"/>
    </row>
    <row r="28" spans="1:33" x14ac:dyDescent="0.2">
      <c r="A28" s="1" t="s">
        <v>110</v>
      </c>
      <c r="B28" s="16">
        <v>10200</v>
      </c>
      <c r="C28" s="16">
        <v>10200</v>
      </c>
      <c r="D28" s="63">
        <v>49.41967609986213</v>
      </c>
      <c r="E28" s="63">
        <f t="shared" si="1"/>
        <v>504.08</v>
      </c>
      <c r="F28" s="64">
        <f t="shared" si="0"/>
        <v>13.718702373176573</v>
      </c>
      <c r="G28" s="5"/>
      <c r="H28" s="3"/>
      <c r="J28" s="6"/>
      <c r="K28" s="3"/>
      <c r="L28" s="6"/>
      <c r="M28" s="5"/>
      <c r="N28" s="6"/>
      <c r="O28" s="3"/>
      <c r="P28" s="3"/>
      <c r="Q28" s="3"/>
      <c r="R28" s="3"/>
      <c r="S28" s="3"/>
      <c r="T28" s="3"/>
      <c r="U28" s="3"/>
      <c r="V28" s="3"/>
      <c r="W28" s="3"/>
      <c r="X28" s="3"/>
      <c r="Y28" s="3"/>
      <c r="Z28" s="3"/>
      <c r="AA28" s="3"/>
      <c r="AB28" s="3"/>
      <c r="AC28" s="3"/>
      <c r="AD28" s="3"/>
      <c r="AE28" s="3"/>
      <c r="AF28" s="3"/>
      <c r="AG28" s="3"/>
    </row>
    <row r="29" spans="1:33" x14ac:dyDescent="0.2">
      <c r="A29" s="1" t="s">
        <v>111</v>
      </c>
      <c r="B29" s="69" t="s">
        <v>64</v>
      </c>
      <c r="C29" s="69" t="s">
        <v>64</v>
      </c>
      <c r="D29" s="69" t="s">
        <v>64</v>
      </c>
      <c r="E29" s="69" t="s">
        <v>64</v>
      </c>
      <c r="F29" s="69" t="s">
        <v>64</v>
      </c>
      <c r="G29" s="5"/>
      <c r="H29" s="3"/>
      <c r="J29" s="3"/>
      <c r="K29" s="3"/>
      <c r="L29" s="4"/>
      <c r="M29" s="6"/>
      <c r="N29" s="6"/>
      <c r="O29" s="3"/>
      <c r="P29" s="3"/>
      <c r="Q29" s="3"/>
      <c r="R29" s="3"/>
      <c r="S29" s="3"/>
      <c r="T29" s="3"/>
      <c r="U29" s="3"/>
      <c r="V29" s="3"/>
      <c r="W29" s="3"/>
      <c r="X29" s="3"/>
      <c r="Y29" s="3"/>
      <c r="Z29" s="3"/>
      <c r="AA29" s="3"/>
      <c r="AB29" s="3"/>
      <c r="AC29" s="3"/>
      <c r="AD29" s="3"/>
      <c r="AE29" s="3"/>
      <c r="AF29" s="3"/>
      <c r="AG29" s="3"/>
    </row>
    <row r="30" spans="1:33" x14ac:dyDescent="0.2">
      <c r="A30" s="1" t="s">
        <v>112</v>
      </c>
      <c r="B30" s="16">
        <v>9900</v>
      </c>
      <c r="C30" s="16">
        <v>9900</v>
      </c>
      <c r="D30" s="63">
        <v>54.48455143890947</v>
      </c>
      <c r="E30" s="63">
        <f t="shared" si="1"/>
        <v>539.4</v>
      </c>
      <c r="F30" s="64">
        <f t="shared" si="0"/>
        <v>14.679947746570868</v>
      </c>
      <c r="G30" s="5"/>
      <c r="H30" s="3"/>
      <c r="J30" s="3"/>
      <c r="K30" s="3"/>
      <c r="L30" s="4"/>
      <c r="M30" s="6"/>
      <c r="N30" s="6"/>
      <c r="O30" s="3"/>
      <c r="P30" s="3"/>
      <c r="Q30" s="3"/>
      <c r="R30" s="3"/>
      <c r="S30" s="3"/>
      <c r="T30" s="3"/>
      <c r="U30" s="3"/>
      <c r="V30" s="3"/>
      <c r="W30" s="3"/>
      <c r="X30" s="3"/>
      <c r="Y30" s="3"/>
      <c r="Z30" s="3"/>
      <c r="AA30" s="3"/>
      <c r="AB30" s="3"/>
      <c r="AC30" s="3"/>
      <c r="AD30" s="3"/>
      <c r="AE30" s="3"/>
      <c r="AF30" s="3"/>
      <c r="AG30" s="3"/>
    </row>
    <row r="31" spans="1:33" x14ac:dyDescent="0.2">
      <c r="A31" s="1" t="s">
        <v>113</v>
      </c>
      <c r="B31" s="69" t="s">
        <v>64</v>
      </c>
      <c r="C31" s="69" t="s">
        <v>64</v>
      </c>
      <c r="D31" s="69" t="s">
        <v>64</v>
      </c>
      <c r="E31" s="69" t="s">
        <v>64</v>
      </c>
      <c r="F31" s="69" t="s">
        <v>64</v>
      </c>
      <c r="G31" s="5"/>
      <c r="H31" s="3"/>
      <c r="J31" s="3"/>
      <c r="K31" s="3"/>
      <c r="L31" s="4"/>
      <c r="M31" s="6"/>
      <c r="N31" s="6"/>
      <c r="O31" s="3"/>
      <c r="P31" s="3"/>
      <c r="Q31" s="3"/>
      <c r="R31" s="3"/>
      <c r="S31" s="3"/>
      <c r="T31" s="3"/>
      <c r="U31" s="3"/>
      <c r="V31" s="3"/>
      <c r="W31" s="3"/>
      <c r="X31" s="3"/>
      <c r="Y31" s="3"/>
      <c r="Z31" s="3"/>
      <c r="AA31" s="3"/>
      <c r="AB31" s="3"/>
      <c r="AC31" s="3"/>
      <c r="AD31" s="3"/>
      <c r="AE31" s="3"/>
      <c r="AF31" s="3"/>
      <c r="AG31" s="3"/>
    </row>
    <row r="32" spans="1:33" x14ac:dyDescent="0.2">
      <c r="A32" s="1" t="s">
        <v>114</v>
      </c>
      <c r="B32" s="16">
        <v>5100</v>
      </c>
      <c r="C32" s="16">
        <v>5100</v>
      </c>
      <c r="D32" s="63">
        <v>46.180938618021685</v>
      </c>
      <c r="E32" s="63">
        <f t="shared" si="1"/>
        <v>235.52</v>
      </c>
      <c r="F32" s="64">
        <f t="shared" si="0"/>
        <v>6.4097539734378408</v>
      </c>
      <c r="G32" s="5"/>
      <c r="H32" s="3"/>
      <c r="J32" s="3"/>
      <c r="K32" s="3"/>
      <c r="L32" s="4"/>
      <c r="M32" s="6"/>
      <c r="N32" s="6"/>
      <c r="O32" s="3"/>
      <c r="P32" s="3"/>
      <c r="Q32" s="3"/>
      <c r="R32" s="3"/>
      <c r="S32" s="3"/>
      <c r="T32" s="3"/>
      <c r="U32" s="3"/>
      <c r="V32" s="3"/>
      <c r="W32" s="3"/>
      <c r="X32" s="3"/>
      <c r="Y32" s="3"/>
      <c r="Z32" s="3"/>
      <c r="AA32" s="3"/>
      <c r="AB32" s="3"/>
      <c r="AC32" s="3"/>
      <c r="AD32" s="3"/>
      <c r="AE32" s="3"/>
      <c r="AF32" s="3"/>
      <c r="AG32" s="3"/>
    </row>
    <row r="33" spans="1:33" x14ac:dyDescent="0.2">
      <c r="A33" s="1" t="s">
        <v>115</v>
      </c>
      <c r="B33" s="16">
        <v>9200</v>
      </c>
      <c r="C33" s="16">
        <v>9200</v>
      </c>
      <c r="D33" s="63">
        <v>43.581179222587878</v>
      </c>
      <c r="E33" s="63">
        <f t="shared" si="1"/>
        <v>400.95</v>
      </c>
      <c r="F33" s="64">
        <f t="shared" si="0"/>
        <v>10.911985630306988</v>
      </c>
      <c r="G33" s="3"/>
      <c r="H33" s="3"/>
      <c r="J33" s="3"/>
      <c r="K33" s="3"/>
      <c r="L33" s="3"/>
      <c r="M33" s="3"/>
      <c r="N33" s="3"/>
      <c r="O33" s="3"/>
      <c r="P33" s="3"/>
      <c r="Q33" s="3"/>
      <c r="R33" s="3"/>
      <c r="S33" s="3"/>
      <c r="T33" s="3"/>
      <c r="U33" s="3"/>
      <c r="V33" s="3"/>
      <c r="W33" s="3"/>
      <c r="X33" s="3"/>
      <c r="Y33" s="3"/>
      <c r="Z33" s="3"/>
      <c r="AA33" s="3"/>
      <c r="AB33" s="3"/>
      <c r="AC33" s="3"/>
      <c r="AD33" s="3"/>
      <c r="AE33" s="3"/>
      <c r="AF33" s="3"/>
      <c r="AG33" s="3"/>
    </row>
    <row r="34" spans="1:33" x14ac:dyDescent="0.2">
      <c r="A34" s="1" t="s">
        <v>116</v>
      </c>
      <c r="B34" s="16">
        <v>7600</v>
      </c>
      <c r="C34" s="16">
        <v>7600</v>
      </c>
      <c r="D34" s="63">
        <v>55.553767785494564</v>
      </c>
      <c r="E34" s="63">
        <f t="shared" si="1"/>
        <v>422.21</v>
      </c>
      <c r="F34" s="64">
        <f t="shared" si="0"/>
        <v>11.490583496625298</v>
      </c>
      <c r="G34" s="3"/>
      <c r="H34" s="3"/>
      <c r="J34" s="6"/>
      <c r="K34" s="3"/>
      <c r="L34" s="6"/>
      <c r="M34" s="3"/>
      <c r="N34" s="3"/>
      <c r="O34" s="3"/>
      <c r="P34" s="3"/>
      <c r="Q34" s="3"/>
      <c r="R34" s="3"/>
      <c r="S34" s="3"/>
      <c r="T34" s="3"/>
      <c r="U34" s="3"/>
      <c r="V34" s="3"/>
      <c r="W34" s="3"/>
      <c r="X34" s="3"/>
      <c r="Y34" s="3"/>
      <c r="Z34" s="3"/>
      <c r="AA34" s="3"/>
      <c r="AB34" s="3"/>
      <c r="AC34" s="3"/>
      <c r="AD34" s="3"/>
      <c r="AE34" s="3"/>
      <c r="AF34" s="3"/>
      <c r="AG34" s="3"/>
    </row>
    <row r="35" spans="1:33" ht="15" x14ac:dyDescent="0.25">
      <c r="A35" s="17" t="s">
        <v>137</v>
      </c>
      <c r="B35" s="65">
        <v>67200</v>
      </c>
      <c r="C35" s="65">
        <v>67200</v>
      </c>
      <c r="D35" s="66">
        <v>48.452380952380949</v>
      </c>
      <c r="E35" s="67">
        <f t="shared" si="1"/>
        <v>3256</v>
      </c>
      <c r="F35" s="68">
        <f t="shared" si="0"/>
        <v>88.6131069018071</v>
      </c>
      <c r="G35" s="10"/>
      <c r="H35" s="9"/>
      <c r="J35" s="6"/>
      <c r="K35" s="3"/>
      <c r="L35" s="6"/>
      <c r="M35" s="6"/>
      <c r="N35" s="6"/>
      <c r="O35" s="3"/>
      <c r="P35" s="3"/>
      <c r="Q35" s="3"/>
      <c r="R35" s="3"/>
      <c r="S35" s="3"/>
      <c r="T35" s="3"/>
      <c r="U35" s="3"/>
      <c r="V35" s="3"/>
      <c r="W35" s="3"/>
      <c r="X35" s="3"/>
      <c r="Y35" s="3"/>
      <c r="Z35" s="3"/>
      <c r="AA35" s="3"/>
      <c r="AB35" s="3"/>
      <c r="AC35" s="3"/>
      <c r="AD35" s="3"/>
      <c r="AE35" s="3"/>
      <c r="AF35" s="3"/>
      <c r="AG35" s="3"/>
    </row>
    <row r="36" spans="1:33" x14ac:dyDescent="0.2">
      <c r="A36" s="1" t="s">
        <v>117</v>
      </c>
      <c r="B36" s="16">
        <v>400</v>
      </c>
      <c r="C36" s="16">
        <v>400</v>
      </c>
      <c r="D36" s="63">
        <v>40.189246275549053</v>
      </c>
      <c r="E36" s="63">
        <f t="shared" si="1"/>
        <v>16.079999999999998</v>
      </c>
      <c r="F36" s="64">
        <f t="shared" si="0"/>
        <v>0.43762246897452639</v>
      </c>
      <c r="G36" s="6"/>
      <c r="H36" s="3"/>
      <c r="J36" s="6"/>
      <c r="K36" s="3"/>
      <c r="L36" s="6"/>
      <c r="M36" s="6"/>
      <c r="N36" s="6"/>
      <c r="O36" s="3"/>
      <c r="P36" s="3"/>
      <c r="Q36" s="3"/>
      <c r="R36" s="3"/>
      <c r="S36" s="3"/>
      <c r="T36" s="3"/>
      <c r="U36" s="3"/>
      <c r="V36" s="3"/>
      <c r="W36" s="3"/>
      <c r="X36" s="3"/>
      <c r="Y36" s="3"/>
      <c r="Z36" s="3"/>
      <c r="AA36" s="3"/>
      <c r="AB36" s="3"/>
      <c r="AC36" s="3"/>
      <c r="AD36" s="3"/>
      <c r="AE36" s="3"/>
      <c r="AF36" s="3"/>
      <c r="AG36" s="3"/>
    </row>
    <row r="37" spans="1:33" x14ac:dyDescent="0.2">
      <c r="A37" s="1" t="s">
        <v>118</v>
      </c>
      <c r="B37" s="16">
        <v>600</v>
      </c>
      <c r="C37" s="16">
        <v>600</v>
      </c>
      <c r="D37" s="63">
        <v>39.544597983052959</v>
      </c>
      <c r="E37" s="63">
        <f t="shared" si="1"/>
        <v>23.73</v>
      </c>
      <c r="F37" s="64">
        <f t="shared" si="0"/>
        <v>0.64581972566949708</v>
      </c>
      <c r="G37" s="6"/>
      <c r="H37" s="3"/>
      <c r="J37" s="6"/>
      <c r="K37" s="3"/>
      <c r="L37" s="6"/>
      <c r="M37" s="6"/>
      <c r="N37" s="6"/>
      <c r="O37" s="3"/>
      <c r="P37" s="3"/>
      <c r="Q37" s="3"/>
      <c r="R37" s="3"/>
      <c r="S37" s="3"/>
      <c r="T37" s="3"/>
      <c r="U37" s="3"/>
      <c r="V37" s="3"/>
      <c r="W37" s="3"/>
      <c r="X37" s="3"/>
      <c r="Y37" s="3"/>
      <c r="Z37" s="3"/>
      <c r="AA37" s="3"/>
      <c r="AB37" s="3"/>
      <c r="AC37" s="3"/>
      <c r="AD37" s="3"/>
      <c r="AE37" s="3"/>
      <c r="AF37" s="3"/>
      <c r="AG37" s="3"/>
    </row>
    <row r="38" spans="1:33" x14ac:dyDescent="0.2">
      <c r="A38" s="1" t="s">
        <v>119</v>
      </c>
      <c r="B38" s="16">
        <v>200</v>
      </c>
      <c r="C38" s="16">
        <v>200</v>
      </c>
      <c r="D38" s="63">
        <v>45.753932468504956</v>
      </c>
      <c r="E38" s="63">
        <f t="shared" si="1"/>
        <v>9.15</v>
      </c>
      <c r="F38" s="64">
        <f t="shared" si="0"/>
        <v>0.24902024820378837</v>
      </c>
      <c r="G38" s="6"/>
      <c r="H38" s="3"/>
      <c r="J38" s="6"/>
      <c r="K38" s="3"/>
      <c r="L38" s="6"/>
      <c r="M38" s="6"/>
      <c r="N38" s="6"/>
      <c r="O38" s="3"/>
      <c r="P38" s="3"/>
      <c r="Q38" s="3"/>
      <c r="R38" s="3"/>
      <c r="S38" s="3"/>
      <c r="T38" s="3"/>
      <c r="U38" s="3"/>
      <c r="V38" s="3"/>
      <c r="W38" s="3"/>
      <c r="X38" s="3"/>
      <c r="Y38" s="3"/>
      <c r="Z38" s="3"/>
      <c r="AA38" s="3"/>
      <c r="AB38" s="3"/>
      <c r="AC38" s="3"/>
      <c r="AD38" s="3"/>
      <c r="AE38" s="3"/>
      <c r="AF38" s="3"/>
      <c r="AG38" s="3"/>
    </row>
    <row r="39" spans="1:33" x14ac:dyDescent="0.2">
      <c r="A39" s="1" t="s">
        <v>120</v>
      </c>
      <c r="B39" s="16">
        <v>3000</v>
      </c>
      <c r="C39" s="16">
        <v>3000</v>
      </c>
      <c r="D39" s="63">
        <v>40.097068489294095</v>
      </c>
      <c r="E39" s="63">
        <f t="shared" si="1"/>
        <v>120.29</v>
      </c>
      <c r="F39" s="64">
        <f t="shared" si="0"/>
        <v>3.2737317657304597</v>
      </c>
      <c r="G39" s="6"/>
      <c r="H39" s="3"/>
      <c r="J39" s="6"/>
      <c r="K39" s="3"/>
      <c r="L39" s="6"/>
      <c r="M39" s="6"/>
      <c r="N39" s="6"/>
      <c r="O39" s="3"/>
      <c r="P39" s="3"/>
      <c r="Q39" s="3"/>
      <c r="R39" s="3"/>
      <c r="S39" s="3"/>
      <c r="T39" s="3"/>
      <c r="U39" s="3"/>
      <c r="V39" s="3"/>
      <c r="W39" s="3"/>
      <c r="X39" s="3"/>
      <c r="Y39" s="3"/>
      <c r="Z39" s="3"/>
      <c r="AA39" s="3"/>
      <c r="AB39" s="3"/>
      <c r="AC39" s="3"/>
      <c r="AD39" s="3"/>
      <c r="AE39" s="3"/>
      <c r="AF39" s="3"/>
      <c r="AG39" s="3"/>
    </row>
    <row r="40" spans="1:33" x14ac:dyDescent="0.2">
      <c r="A40" s="1" t="s">
        <v>121</v>
      </c>
      <c r="B40" s="16">
        <v>300</v>
      </c>
      <c r="C40" s="16">
        <v>300</v>
      </c>
      <c r="D40" s="63">
        <v>57.914425493684334</v>
      </c>
      <c r="E40" s="63">
        <f t="shared" si="1"/>
        <v>17.37</v>
      </c>
      <c r="F40" s="64">
        <f t="shared" si="0"/>
        <v>0.47273024167210975</v>
      </c>
      <c r="G40" s="6"/>
      <c r="H40" s="3"/>
      <c r="J40" s="6"/>
      <c r="K40" s="3"/>
      <c r="L40" s="6"/>
      <c r="M40" s="6"/>
      <c r="N40" s="6"/>
      <c r="O40" s="3"/>
      <c r="P40" s="3"/>
      <c r="Q40" s="3"/>
      <c r="R40" s="3"/>
      <c r="S40" s="3"/>
      <c r="T40" s="3"/>
      <c r="U40" s="3"/>
      <c r="V40" s="3"/>
      <c r="W40" s="3"/>
      <c r="X40" s="3"/>
      <c r="Y40" s="3"/>
      <c r="Z40" s="3"/>
      <c r="AA40" s="3"/>
      <c r="AB40" s="3"/>
      <c r="AC40" s="3"/>
      <c r="AD40" s="3"/>
      <c r="AE40" s="3"/>
      <c r="AF40" s="3"/>
      <c r="AG40" s="3"/>
    </row>
    <row r="41" spans="1:33" x14ac:dyDescent="0.2">
      <c r="A41" s="1" t="s">
        <v>122</v>
      </c>
      <c r="B41" s="16">
        <v>300</v>
      </c>
      <c r="C41" s="16">
        <v>300</v>
      </c>
      <c r="D41" s="63">
        <v>58.690706522172022</v>
      </c>
      <c r="E41" s="63">
        <f t="shared" si="1"/>
        <v>17.61</v>
      </c>
      <c r="F41" s="64">
        <f t="shared" si="0"/>
        <v>0.47926192031352055</v>
      </c>
      <c r="G41" s="6"/>
      <c r="H41" s="3"/>
      <c r="J41" s="3"/>
      <c r="K41" s="3"/>
      <c r="L41" s="3"/>
      <c r="M41" s="6"/>
      <c r="N41" s="6"/>
      <c r="O41" s="3"/>
      <c r="P41" s="3"/>
      <c r="Q41" s="3"/>
      <c r="R41" s="3"/>
      <c r="S41" s="3"/>
      <c r="T41" s="3"/>
      <c r="U41" s="3"/>
      <c r="V41" s="3"/>
      <c r="W41" s="3"/>
      <c r="X41" s="3"/>
      <c r="Y41" s="3"/>
      <c r="Z41" s="3"/>
      <c r="AA41" s="3"/>
      <c r="AB41" s="3"/>
      <c r="AC41" s="3"/>
      <c r="AD41" s="3"/>
      <c r="AE41" s="3"/>
      <c r="AF41" s="3"/>
      <c r="AG41" s="3"/>
    </row>
    <row r="42" spans="1:33" x14ac:dyDescent="0.2">
      <c r="A42" s="1" t="s">
        <v>123</v>
      </c>
      <c r="B42" s="16">
        <v>1300</v>
      </c>
      <c r="C42" s="16">
        <v>1300</v>
      </c>
      <c r="D42" s="63">
        <v>56.968117774205631</v>
      </c>
      <c r="E42" s="63">
        <f t="shared" si="1"/>
        <v>74.06</v>
      </c>
      <c r="F42" s="64">
        <f t="shared" si="0"/>
        <v>2.0155671674286961</v>
      </c>
      <c r="G42" s="3"/>
      <c r="H42" s="3"/>
      <c r="J42" s="3"/>
      <c r="K42" s="3"/>
      <c r="L42" s="3"/>
      <c r="M42" s="3"/>
      <c r="N42" s="3"/>
      <c r="O42" s="3"/>
      <c r="P42" s="3"/>
      <c r="Q42" s="3"/>
      <c r="R42" s="3"/>
      <c r="S42" s="3"/>
      <c r="T42" s="3"/>
      <c r="U42" s="3"/>
      <c r="V42" s="3"/>
      <c r="W42" s="3"/>
      <c r="X42" s="3"/>
      <c r="Y42" s="3"/>
      <c r="Z42" s="3"/>
      <c r="AA42" s="3"/>
      <c r="AB42" s="3"/>
      <c r="AC42" s="3"/>
      <c r="AD42" s="3"/>
      <c r="AE42" s="3"/>
      <c r="AF42" s="3"/>
      <c r="AG42" s="3"/>
    </row>
    <row r="43" spans="1:33" x14ac:dyDescent="0.2">
      <c r="A43" s="1" t="s">
        <v>124</v>
      </c>
      <c r="B43" s="16">
        <v>900</v>
      </c>
      <c r="C43" s="16">
        <v>900</v>
      </c>
      <c r="D43" s="63">
        <v>58.214527218302131</v>
      </c>
      <c r="E43" s="63">
        <f t="shared" si="1"/>
        <v>52.39</v>
      </c>
      <c r="F43" s="64">
        <f t="shared" si="0"/>
        <v>1.4258110167646418</v>
      </c>
      <c r="G43" s="3"/>
      <c r="H43" s="3"/>
      <c r="J43" s="6"/>
      <c r="K43" s="3"/>
      <c r="L43" s="6"/>
      <c r="M43" s="3"/>
      <c r="N43" s="3"/>
      <c r="O43" s="3"/>
      <c r="P43" s="3"/>
      <c r="Q43" s="3"/>
      <c r="R43" s="3"/>
      <c r="S43" s="3"/>
      <c r="T43" s="3"/>
      <c r="U43" s="3"/>
      <c r="V43" s="3"/>
      <c r="W43" s="3"/>
      <c r="X43" s="3"/>
      <c r="Y43" s="3"/>
      <c r="Z43" s="3"/>
      <c r="AA43" s="3"/>
      <c r="AB43" s="3"/>
      <c r="AC43" s="3"/>
      <c r="AD43" s="3"/>
      <c r="AE43" s="3"/>
      <c r="AF43" s="3"/>
      <c r="AG43" s="3"/>
    </row>
    <row r="44" spans="1:33" ht="15" x14ac:dyDescent="0.25">
      <c r="A44" s="17" t="s">
        <v>138</v>
      </c>
      <c r="B44" s="65">
        <v>7000</v>
      </c>
      <c r="C44" s="65">
        <v>7000</v>
      </c>
      <c r="D44" s="66">
        <v>47.142857142857146</v>
      </c>
      <c r="E44" s="67">
        <f t="shared" si="1"/>
        <v>330</v>
      </c>
      <c r="F44" s="68">
        <f t="shared" si="0"/>
        <v>8.9810581319399088</v>
      </c>
      <c r="G44" s="73"/>
      <c r="H44" s="9"/>
      <c r="J44" s="6"/>
      <c r="K44" s="3"/>
      <c r="L44" s="6"/>
      <c r="M44" s="6"/>
      <c r="N44" s="6"/>
      <c r="O44" s="3"/>
      <c r="P44" s="3"/>
      <c r="Q44" s="3"/>
      <c r="R44" s="3"/>
      <c r="S44" s="3"/>
      <c r="T44" s="3"/>
      <c r="U44" s="3"/>
      <c r="V44" s="3"/>
      <c r="W44" s="3"/>
      <c r="X44" s="3"/>
      <c r="Y44" s="3"/>
      <c r="Z44" s="3"/>
      <c r="AA44" s="3"/>
      <c r="AB44" s="3"/>
      <c r="AC44" s="3"/>
      <c r="AD44" s="3"/>
      <c r="AE44" s="3"/>
      <c r="AF44" s="3"/>
      <c r="AG44" s="3"/>
    </row>
    <row r="45" spans="1:33" x14ac:dyDescent="0.2">
      <c r="A45" s="1" t="s">
        <v>125</v>
      </c>
      <c r="B45" s="69" t="s">
        <v>64</v>
      </c>
      <c r="C45" s="69" t="s">
        <v>64</v>
      </c>
      <c r="D45" s="69" t="s">
        <v>64</v>
      </c>
      <c r="E45" s="69" t="s">
        <v>64</v>
      </c>
      <c r="F45" s="69" t="s">
        <v>64</v>
      </c>
      <c r="G45" s="5"/>
      <c r="H45" s="3"/>
      <c r="J45" s="6"/>
      <c r="K45" s="3"/>
      <c r="L45" s="6"/>
      <c r="M45" s="6"/>
      <c r="N45" s="6"/>
      <c r="O45" s="3"/>
      <c r="P45" s="3"/>
      <c r="Q45" s="3"/>
      <c r="R45" s="3"/>
      <c r="S45" s="3"/>
      <c r="T45" s="3"/>
      <c r="U45" s="3"/>
      <c r="V45" s="3"/>
      <c r="W45" s="3"/>
      <c r="X45" s="3"/>
      <c r="Y45" s="3"/>
      <c r="Z45" s="3"/>
      <c r="AA45" s="3"/>
      <c r="AB45" s="3"/>
      <c r="AC45" s="3"/>
      <c r="AD45" s="3"/>
      <c r="AE45" s="3"/>
      <c r="AF45" s="3"/>
      <c r="AG45" s="3"/>
    </row>
    <row r="46" spans="1:33" x14ac:dyDescent="0.2">
      <c r="A46" s="1" t="s">
        <v>126</v>
      </c>
      <c r="B46" s="69" t="s">
        <v>64</v>
      </c>
      <c r="C46" s="69" t="s">
        <v>64</v>
      </c>
      <c r="D46" s="69" t="s">
        <v>64</v>
      </c>
      <c r="E46" s="69" t="s">
        <v>64</v>
      </c>
      <c r="F46" s="69" t="s">
        <v>64</v>
      </c>
      <c r="G46" s="5"/>
      <c r="H46" s="3"/>
      <c r="J46" s="6"/>
      <c r="K46" s="3"/>
      <c r="L46" s="6"/>
      <c r="M46" s="6"/>
      <c r="N46" s="6"/>
      <c r="O46" s="3"/>
      <c r="P46" s="3"/>
      <c r="Q46" s="3"/>
      <c r="R46" s="3"/>
      <c r="S46" s="3"/>
      <c r="T46" s="3"/>
      <c r="U46" s="3"/>
      <c r="V46" s="3"/>
      <c r="W46" s="3"/>
      <c r="X46" s="3"/>
      <c r="Y46" s="3"/>
      <c r="Z46" s="3"/>
      <c r="AA46" s="3"/>
      <c r="AB46" s="3"/>
      <c r="AC46" s="3"/>
      <c r="AD46" s="3"/>
      <c r="AE46" s="3"/>
      <c r="AF46" s="3"/>
      <c r="AG46" s="3"/>
    </row>
    <row r="47" spans="1:33" x14ac:dyDescent="0.2">
      <c r="A47" s="1" t="s">
        <v>127</v>
      </c>
      <c r="B47" s="69" t="s">
        <v>64</v>
      </c>
      <c r="C47" s="69" t="s">
        <v>64</v>
      </c>
      <c r="D47" s="69" t="s">
        <v>64</v>
      </c>
      <c r="E47" s="69" t="s">
        <v>64</v>
      </c>
      <c r="F47" s="69" t="s">
        <v>64</v>
      </c>
      <c r="G47" s="5"/>
      <c r="H47" s="3"/>
      <c r="J47" s="6"/>
      <c r="K47" s="3"/>
      <c r="L47" s="6"/>
      <c r="M47" s="6"/>
      <c r="N47" s="6"/>
      <c r="O47" s="3"/>
      <c r="P47" s="3"/>
      <c r="Q47" s="3"/>
      <c r="R47" s="3"/>
      <c r="S47" s="3"/>
      <c r="T47" s="3"/>
      <c r="U47" s="3"/>
      <c r="V47" s="3"/>
      <c r="W47" s="3"/>
      <c r="X47" s="3"/>
      <c r="Y47" s="3"/>
      <c r="Z47" s="3"/>
      <c r="AA47" s="3"/>
      <c r="AB47" s="3"/>
      <c r="AC47" s="3"/>
      <c r="AD47" s="3"/>
      <c r="AE47" s="3"/>
      <c r="AF47" s="3"/>
      <c r="AG47" s="3"/>
    </row>
    <row r="48" spans="1:33" x14ac:dyDescent="0.2">
      <c r="A48" s="1" t="s">
        <v>128</v>
      </c>
      <c r="B48" s="69">
        <v>100</v>
      </c>
      <c r="C48" s="69">
        <v>100</v>
      </c>
      <c r="D48" s="69">
        <v>48.021880193059637</v>
      </c>
      <c r="E48" s="63">
        <f t="shared" si="1"/>
        <v>4.8</v>
      </c>
      <c r="F48" s="64">
        <f t="shared" si="0"/>
        <v>0.13063357282821686</v>
      </c>
      <c r="G48" s="5"/>
      <c r="H48" s="3"/>
      <c r="J48" s="6"/>
      <c r="K48" s="3"/>
      <c r="L48" s="6"/>
      <c r="M48" s="6"/>
      <c r="N48" s="6"/>
      <c r="O48" s="3"/>
      <c r="P48" s="3"/>
      <c r="Q48" s="3"/>
      <c r="R48" s="3"/>
      <c r="S48" s="3"/>
      <c r="T48" s="3"/>
      <c r="U48" s="3"/>
      <c r="V48" s="3"/>
      <c r="W48" s="3"/>
      <c r="X48" s="3"/>
      <c r="Y48" s="3"/>
      <c r="Z48" s="3"/>
      <c r="AA48" s="3"/>
      <c r="AB48" s="3"/>
      <c r="AC48" s="3"/>
      <c r="AD48" s="3"/>
      <c r="AE48" s="3"/>
      <c r="AF48" s="3"/>
      <c r="AG48" s="3"/>
    </row>
    <row r="49" spans="1:33" x14ac:dyDescent="0.2">
      <c r="A49" s="1" t="s">
        <v>129</v>
      </c>
      <c r="B49" s="69" t="s">
        <v>64</v>
      </c>
      <c r="C49" s="69" t="s">
        <v>64</v>
      </c>
      <c r="D49" s="69" t="s">
        <v>64</v>
      </c>
      <c r="E49" s="69" t="s">
        <v>64</v>
      </c>
      <c r="F49" s="69" t="s">
        <v>64</v>
      </c>
      <c r="G49" s="5"/>
      <c r="H49" s="3"/>
      <c r="J49" s="6"/>
      <c r="K49" s="3"/>
      <c r="L49" s="6"/>
      <c r="M49" s="6"/>
      <c r="N49" s="6"/>
      <c r="O49" s="3"/>
      <c r="P49" s="3"/>
      <c r="Q49" s="3"/>
      <c r="R49" s="3"/>
      <c r="S49" s="3"/>
      <c r="T49" s="3"/>
      <c r="U49" s="3"/>
      <c r="V49" s="3"/>
      <c r="W49" s="3"/>
      <c r="X49" s="3"/>
      <c r="Y49" s="3"/>
      <c r="Z49" s="3"/>
      <c r="AA49" s="3"/>
      <c r="AB49" s="3"/>
      <c r="AC49" s="3"/>
      <c r="AD49" s="3"/>
      <c r="AE49" s="3"/>
      <c r="AF49" s="3"/>
      <c r="AG49" s="3"/>
    </row>
    <row r="50" spans="1:33" x14ac:dyDescent="0.2">
      <c r="A50" s="1" t="s">
        <v>130</v>
      </c>
      <c r="B50" s="69" t="s">
        <v>64</v>
      </c>
      <c r="C50" s="69" t="s">
        <v>64</v>
      </c>
      <c r="D50" s="69" t="s">
        <v>64</v>
      </c>
      <c r="E50" s="69" t="s">
        <v>64</v>
      </c>
      <c r="F50" s="69" t="s">
        <v>64</v>
      </c>
      <c r="G50" s="5"/>
      <c r="H50" s="3"/>
      <c r="J50" s="3"/>
      <c r="K50" s="3"/>
      <c r="L50" s="3"/>
      <c r="M50" s="6"/>
      <c r="N50" s="6"/>
      <c r="O50" s="3"/>
      <c r="P50" s="3"/>
      <c r="Q50" s="3"/>
      <c r="R50" s="3"/>
      <c r="S50" s="3"/>
      <c r="T50" s="3"/>
      <c r="U50" s="3"/>
      <c r="V50" s="3"/>
      <c r="W50" s="3"/>
      <c r="X50" s="3"/>
      <c r="Y50" s="3"/>
      <c r="Z50" s="3"/>
      <c r="AA50" s="3"/>
      <c r="AB50" s="3"/>
      <c r="AC50" s="3"/>
      <c r="AD50" s="3"/>
      <c r="AE50" s="3"/>
      <c r="AF50" s="3"/>
      <c r="AG50" s="3"/>
    </row>
    <row r="51" spans="1:33" x14ac:dyDescent="0.2">
      <c r="A51" s="1" t="s">
        <v>81</v>
      </c>
      <c r="B51" s="69" t="s">
        <v>64</v>
      </c>
      <c r="C51" s="69" t="s">
        <v>64</v>
      </c>
      <c r="D51" s="69" t="s">
        <v>64</v>
      </c>
      <c r="E51" s="69" t="s">
        <v>64</v>
      </c>
      <c r="F51" s="69" t="s">
        <v>64</v>
      </c>
      <c r="G51" s="3"/>
      <c r="H51" s="3"/>
      <c r="J51" s="3"/>
      <c r="K51" s="3"/>
      <c r="L51" s="4"/>
      <c r="M51" s="3"/>
      <c r="N51" s="3"/>
      <c r="O51" s="3"/>
      <c r="P51" s="3"/>
      <c r="Q51" s="3"/>
      <c r="R51" s="3"/>
      <c r="S51" s="3"/>
      <c r="T51" s="3"/>
      <c r="U51" s="3"/>
      <c r="V51" s="3"/>
      <c r="W51" s="3"/>
      <c r="X51" s="3"/>
      <c r="Y51" s="3"/>
      <c r="Z51" s="3"/>
      <c r="AA51" s="3"/>
      <c r="AB51" s="3"/>
      <c r="AC51" s="3"/>
      <c r="AD51" s="3"/>
      <c r="AE51" s="3"/>
      <c r="AF51" s="3"/>
      <c r="AG51" s="3"/>
    </row>
    <row r="52" spans="1:33" x14ac:dyDescent="0.2">
      <c r="A52" s="1" t="s">
        <v>82</v>
      </c>
      <c r="B52" s="69" t="s">
        <v>64</v>
      </c>
      <c r="C52" s="69" t="s">
        <v>64</v>
      </c>
      <c r="D52" s="69" t="s">
        <v>64</v>
      </c>
      <c r="E52" s="69" t="s">
        <v>64</v>
      </c>
      <c r="F52" s="69" t="s">
        <v>64</v>
      </c>
      <c r="G52" s="3"/>
      <c r="H52" s="3"/>
      <c r="J52" s="3"/>
      <c r="K52" s="3"/>
      <c r="L52" s="4"/>
      <c r="M52" s="3"/>
      <c r="N52" s="3"/>
      <c r="O52" s="3"/>
      <c r="P52" s="3"/>
      <c r="Q52" s="3"/>
      <c r="R52" s="3"/>
      <c r="S52" s="3"/>
      <c r="T52" s="3"/>
      <c r="U52" s="3"/>
      <c r="V52" s="3"/>
      <c r="W52" s="3"/>
      <c r="X52" s="3"/>
      <c r="Y52" s="3"/>
      <c r="Z52" s="3"/>
      <c r="AA52" s="3"/>
      <c r="AB52" s="3"/>
      <c r="AC52" s="3"/>
      <c r="AD52" s="3"/>
      <c r="AE52" s="3"/>
      <c r="AF52" s="3"/>
      <c r="AG52" s="3"/>
    </row>
    <row r="53" spans="1:33" x14ac:dyDescent="0.2">
      <c r="A53" s="1" t="s">
        <v>131</v>
      </c>
      <c r="B53" s="69" t="s">
        <v>64</v>
      </c>
      <c r="C53" s="69" t="s">
        <v>64</v>
      </c>
      <c r="D53" s="69" t="s">
        <v>64</v>
      </c>
      <c r="E53" s="69" t="s">
        <v>64</v>
      </c>
      <c r="F53" s="69" t="s">
        <v>64</v>
      </c>
      <c r="G53" s="5"/>
      <c r="H53" s="3"/>
      <c r="J53" s="3"/>
      <c r="K53" s="3"/>
      <c r="L53" s="3"/>
      <c r="M53" s="6"/>
      <c r="N53" s="6"/>
      <c r="O53" s="3"/>
      <c r="P53" s="3"/>
      <c r="Q53" s="3"/>
      <c r="R53" s="3"/>
      <c r="S53" s="3"/>
      <c r="T53" s="3"/>
      <c r="U53" s="3"/>
      <c r="V53" s="3"/>
      <c r="W53" s="3"/>
      <c r="X53" s="3"/>
      <c r="Y53" s="3"/>
      <c r="Z53" s="3"/>
      <c r="AA53" s="3"/>
      <c r="AB53" s="3"/>
      <c r="AC53" s="3"/>
      <c r="AD53" s="3"/>
      <c r="AE53" s="3"/>
      <c r="AF53" s="3"/>
      <c r="AG53" s="3"/>
    </row>
    <row r="54" spans="1:33" x14ac:dyDescent="0.2">
      <c r="A54" s="1" t="s">
        <v>132</v>
      </c>
      <c r="B54" s="69">
        <v>1200</v>
      </c>
      <c r="C54" s="69">
        <v>1200</v>
      </c>
      <c r="D54" s="69">
        <v>60.136423200568146</v>
      </c>
      <c r="E54" s="63">
        <f t="shared" si="1"/>
        <v>72.16</v>
      </c>
      <c r="F54" s="64">
        <f t="shared" si="0"/>
        <v>1.96385804485086</v>
      </c>
      <c r="G54" s="3"/>
      <c r="H54" s="3"/>
      <c r="J54" s="3"/>
      <c r="K54" s="3"/>
      <c r="L54" s="3"/>
      <c r="M54" s="3"/>
      <c r="N54" s="3"/>
      <c r="O54" s="3"/>
      <c r="P54" s="3"/>
      <c r="Q54" s="3"/>
      <c r="R54" s="3"/>
      <c r="S54" s="3"/>
      <c r="T54" s="3"/>
      <c r="U54" s="3"/>
      <c r="V54" s="3"/>
      <c r="W54" s="3"/>
      <c r="X54" s="3"/>
      <c r="Y54" s="3"/>
      <c r="Z54" s="3"/>
      <c r="AA54" s="3"/>
      <c r="AB54" s="3"/>
      <c r="AC54" s="3"/>
      <c r="AD54" s="3"/>
      <c r="AE54" s="3"/>
      <c r="AF54" s="3"/>
      <c r="AG54" s="3"/>
    </row>
    <row r="55" spans="1:33" ht="15" x14ac:dyDescent="0.25">
      <c r="A55" s="17" t="s">
        <v>139</v>
      </c>
      <c r="B55" s="65">
        <v>1300</v>
      </c>
      <c r="C55" s="65">
        <v>1300</v>
      </c>
      <c r="D55" s="66">
        <v>59.230769230769234</v>
      </c>
      <c r="E55" s="67">
        <f t="shared" si="1"/>
        <v>77</v>
      </c>
      <c r="F55" s="68">
        <f t="shared" si="0"/>
        <v>2.0955802307859788</v>
      </c>
      <c r="G55" s="3"/>
      <c r="H55" s="3"/>
      <c r="J55" s="7"/>
      <c r="K55" s="3"/>
      <c r="L55" s="4"/>
      <c r="M55" s="3"/>
      <c r="N55" s="3"/>
      <c r="O55" s="3"/>
      <c r="P55" s="3"/>
      <c r="Q55" s="3"/>
      <c r="R55" s="3"/>
      <c r="S55" s="3"/>
      <c r="T55" s="3"/>
      <c r="U55" s="3"/>
      <c r="V55" s="3"/>
      <c r="W55" s="3"/>
      <c r="X55" s="3"/>
      <c r="Y55" s="3"/>
      <c r="Z55" s="3"/>
      <c r="AA55" s="3"/>
      <c r="AB55" s="3"/>
      <c r="AC55" s="3"/>
      <c r="AD55" s="3"/>
      <c r="AE55" s="3"/>
      <c r="AF55" s="3"/>
      <c r="AG55" s="3"/>
    </row>
    <row r="56" spans="1:33" ht="15" x14ac:dyDescent="0.25">
      <c r="A56" s="17" t="s">
        <v>0</v>
      </c>
      <c r="B56" s="65">
        <v>830000</v>
      </c>
      <c r="C56" s="65">
        <v>830000</v>
      </c>
      <c r="D56" s="66">
        <v>70</v>
      </c>
      <c r="E56" s="67">
        <f t="shared" si="1"/>
        <v>58100</v>
      </c>
      <c r="F56" s="68">
        <f t="shared" si="0"/>
        <v>1581.2105377748749</v>
      </c>
      <c r="G56" s="5"/>
      <c r="H56" s="3"/>
      <c r="J56" s="3"/>
      <c r="K56" s="3"/>
      <c r="L56" s="3"/>
      <c r="M56" s="6"/>
      <c r="N56" s="6"/>
      <c r="O56" s="3"/>
      <c r="P56" s="3"/>
      <c r="Q56" s="3"/>
      <c r="R56" s="3"/>
      <c r="S56" s="3"/>
      <c r="T56" s="3"/>
      <c r="U56" s="3"/>
      <c r="V56" s="3"/>
      <c r="W56" s="3"/>
      <c r="X56" s="3"/>
      <c r="Y56" s="3"/>
      <c r="Z56" s="3"/>
      <c r="AA56" s="3"/>
      <c r="AB56" s="3"/>
      <c r="AC56" s="3"/>
      <c r="AD56" s="3"/>
      <c r="AE56" s="3"/>
      <c r="AF56" s="3"/>
      <c r="AG56" s="3"/>
    </row>
    <row r="57" spans="1:33" s="22" customFormat="1" x14ac:dyDescent="0.2">
      <c r="A57" s="20"/>
      <c r="B57" s="20"/>
      <c r="C57" s="20"/>
      <c r="D57" s="20"/>
      <c r="E57" s="15"/>
      <c r="F57" s="21"/>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row>
    <row r="58" spans="1:33" x14ac:dyDescent="0.2">
      <c r="A58" s="3"/>
      <c r="B58" s="12"/>
      <c r="C58" s="12"/>
      <c r="D58" s="13"/>
      <c r="E58" s="6"/>
      <c r="F58" s="7"/>
      <c r="G58" s="3"/>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spans="1:33" x14ac:dyDescent="0.2">
      <c r="A59" s="3"/>
      <c r="B59" s="6"/>
      <c r="C59" s="6"/>
      <c r="D59" s="8"/>
      <c r="E59" s="6"/>
      <c r="F59" s="7"/>
      <c r="G59" s="3"/>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spans="1:33" x14ac:dyDescent="0.2">
      <c r="A60" s="3"/>
      <c r="B60" s="6"/>
      <c r="C60" s="6"/>
      <c r="D60" s="8"/>
      <c r="E60" s="6"/>
      <c r="F60" s="7"/>
      <c r="G60" s="3"/>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x14ac:dyDescent="0.2">
      <c r="A61" s="3"/>
      <c r="B61" s="6"/>
      <c r="C61" s="6"/>
      <c r="D61" s="8"/>
      <c r="E61" s="6"/>
      <c r="F61" s="7"/>
      <c r="G61" s="3"/>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x14ac:dyDescent="0.2">
      <c r="A62" s="2"/>
      <c r="B62" s="6"/>
      <c r="C62" s="6"/>
      <c r="D62" s="8"/>
      <c r="E62" s="12"/>
      <c r="F62" s="14"/>
      <c r="G62" s="3"/>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spans="1:33" x14ac:dyDescent="0.2">
      <c r="A63" s="3"/>
      <c r="B63" s="6"/>
      <c r="C63" s="6"/>
      <c r="D63" s="8"/>
      <c r="E63" s="6"/>
      <c r="F63" s="7"/>
      <c r="G63" s="3"/>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spans="1:33" x14ac:dyDescent="0.2">
      <c r="A64" s="3"/>
      <c r="B64" s="6"/>
      <c r="C64" s="6"/>
      <c r="D64" s="8"/>
      <c r="E64" s="6"/>
      <c r="F64" s="7"/>
      <c r="G64" s="3"/>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spans="1:33" x14ac:dyDescent="0.2">
      <c r="A65" s="3"/>
      <c r="B65" s="6"/>
      <c r="C65" s="6"/>
      <c r="D65" s="8"/>
      <c r="E65" s="6"/>
      <c r="F65" s="7"/>
      <c r="G65" s="3"/>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1:33" x14ac:dyDescent="0.2">
      <c r="A66" s="3"/>
      <c r="B66" s="6"/>
      <c r="C66" s="6"/>
      <c r="D66" s="8"/>
      <c r="E66" s="6"/>
      <c r="F66" s="7"/>
      <c r="G66" s="3"/>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1:33" x14ac:dyDescent="0.2">
      <c r="A67" s="3"/>
      <c r="B67" s="6"/>
      <c r="C67" s="6"/>
      <c r="D67" s="8"/>
      <c r="E67" s="6"/>
      <c r="F67" s="7"/>
      <c r="G67" s="3"/>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1:33" x14ac:dyDescent="0.2">
      <c r="A68" s="3"/>
      <c r="B68" s="6"/>
      <c r="C68" s="6"/>
      <c r="D68" s="8"/>
      <c r="E68" s="6"/>
      <c r="F68" s="7"/>
      <c r="G68" s="3"/>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1:33" x14ac:dyDescent="0.2">
      <c r="A69" s="3"/>
      <c r="B69" s="6"/>
      <c r="C69" s="6"/>
      <c r="D69" s="8"/>
      <c r="E69" s="6"/>
      <c r="F69" s="7"/>
      <c r="G69" s="3"/>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1:33" x14ac:dyDescent="0.2">
      <c r="A70" s="3"/>
      <c r="B70" s="6"/>
      <c r="C70" s="6"/>
      <c r="D70" s="8"/>
      <c r="E70" s="6"/>
      <c r="F70" s="7"/>
      <c r="G70" s="3"/>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spans="1:33" x14ac:dyDescent="0.2">
      <c r="A71" s="3"/>
      <c r="B71" s="6"/>
      <c r="C71" s="6"/>
      <c r="D71" s="8"/>
      <c r="E71" s="6"/>
      <c r="F71" s="7"/>
      <c r="G71" s="3"/>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spans="1:33" x14ac:dyDescent="0.2">
      <c r="A72" s="3"/>
      <c r="B72" s="3"/>
      <c r="C72" s="3"/>
      <c r="D72" s="3"/>
      <c r="E72" s="6"/>
      <c r="F72" s="7"/>
      <c r="G72" s="3"/>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spans="1:33" x14ac:dyDescent="0.2">
      <c r="A73" s="3"/>
      <c r="B73" s="3"/>
      <c r="C73" s="3"/>
      <c r="D73" s="3"/>
      <c r="E73" s="6"/>
      <c r="F73" s="7"/>
      <c r="G73" s="3"/>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spans="1:33" x14ac:dyDescent="0.2">
      <c r="A74" s="3"/>
      <c r="B74" s="3"/>
      <c r="C74" s="3"/>
      <c r="D74" s="3"/>
      <c r="E74" s="6"/>
      <c r="F74" s="7"/>
      <c r="G74" s="3"/>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spans="1:33" x14ac:dyDescent="0.2">
      <c r="A75" s="3"/>
      <c r="B75" s="3"/>
      <c r="C75" s="3"/>
      <c r="D75" s="3"/>
      <c r="E75" s="6"/>
      <c r="F75" s="7"/>
      <c r="G75" s="3"/>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spans="1:33"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spans="1:33"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spans="1:33"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spans="1:33"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spans="1:33"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spans="1:33"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spans="1:33" x14ac:dyDescent="0.2">
      <c r="A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1:33" x14ac:dyDescent="0.2">
      <c r="A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1:33" x14ac:dyDescent="0.2">
      <c r="A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1:33" x14ac:dyDescent="0.2">
      <c r="A85" s="3"/>
      <c r="E85" s="3"/>
      <c r="F85" s="3"/>
      <c r="G85" s="3"/>
      <c r="H85" s="3"/>
      <c r="M85" s="3"/>
      <c r="N85" s="3"/>
      <c r="O85" s="3"/>
      <c r="P85" s="3"/>
      <c r="Q85" s="3"/>
      <c r="R85" s="3"/>
      <c r="S85" s="3"/>
      <c r="T85" s="3"/>
      <c r="U85" s="3"/>
      <c r="V85" s="3"/>
      <c r="W85" s="3"/>
      <c r="X85" s="3"/>
      <c r="Y85" s="3"/>
      <c r="Z85" s="3"/>
      <c r="AA85" s="3"/>
      <c r="AB85" s="3"/>
      <c r="AC85" s="3"/>
      <c r="AD85" s="3"/>
      <c r="AE85" s="3"/>
      <c r="AF85" s="3"/>
      <c r="AG85" s="3"/>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85"/>
  <sheetViews>
    <sheetView workbookViewId="0"/>
  </sheetViews>
  <sheetFormatPr defaultColWidth="9.77734375" defaultRowHeight="14.25" x14ac:dyDescent="0.2"/>
  <cols>
    <col min="1" max="1" width="31.44140625" style="1" bestFit="1" customWidth="1"/>
    <col min="2" max="2" width="11.21875" style="1" bestFit="1" customWidth="1"/>
    <col min="3" max="3" width="13.33203125" style="1" bestFit="1" customWidth="1"/>
    <col min="4" max="4" width="8.21875" style="1" bestFit="1" customWidth="1"/>
    <col min="5" max="5" width="9.88671875" style="1" bestFit="1" customWidth="1"/>
    <col min="6" max="6" width="11.5546875" style="1" bestFit="1" customWidth="1"/>
    <col min="7" max="7" width="9.77734375" style="1"/>
    <col min="8" max="8" width="10" style="1" bestFit="1" customWidth="1"/>
    <col min="9" max="16384" width="9.77734375" style="1"/>
  </cols>
  <sheetData>
    <row r="1" spans="1:30" ht="12.95" customHeight="1" thickBot="1" x14ac:dyDescent="0.3">
      <c r="A1" s="109" t="s">
        <v>140</v>
      </c>
      <c r="B1" s="109"/>
      <c r="C1" s="109"/>
      <c r="D1" s="109"/>
      <c r="E1" s="109"/>
      <c r="F1" s="109"/>
      <c r="G1" s="3"/>
      <c r="H1" s="3"/>
      <c r="I1" s="3"/>
      <c r="J1" s="3"/>
      <c r="K1" s="3"/>
      <c r="L1" s="3"/>
      <c r="M1" s="3"/>
      <c r="N1" s="3"/>
      <c r="O1" s="3"/>
      <c r="P1" s="3"/>
      <c r="Q1" s="3"/>
      <c r="R1" s="3"/>
      <c r="S1" s="3"/>
      <c r="T1" s="3"/>
      <c r="U1" s="3"/>
      <c r="V1" s="3"/>
      <c r="W1" s="3"/>
      <c r="X1" s="3"/>
      <c r="Y1" s="3"/>
      <c r="Z1" s="3"/>
      <c r="AA1" s="3"/>
      <c r="AB1" s="3"/>
      <c r="AC1" s="3"/>
      <c r="AD1" s="3"/>
    </row>
    <row r="2" spans="1:30" ht="30.75" thickBot="1" x14ac:dyDescent="0.3">
      <c r="A2" s="18"/>
      <c r="B2" s="19" t="s">
        <v>141</v>
      </c>
      <c r="C2" s="19" t="s">
        <v>142</v>
      </c>
      <c r="D2" s="19" t="s">
        <v>143</v>
      </c>
      <c r="E2" s="19" t="s">
        <v>144</v>
      </c>
      <c r="F2" s="19" t="s">
        <v>1</v>
      </c>
      <c r="G2" s="3"/>
      <c r="H2" s="3"/>
      <c r="I2" s="3"/>
      <c r="J2" s="3"/>
      <c r="K2" s="3"/>
      <c r="L2" s="3"/>
      <c r="M2" s="3"/>
      <c r="N2" s="3"/>
      <c r="O2" s="3"/>
      <c r="P2" s="3"/>
      <c r="Q2" s="3"/>
      <c r="R2" s="3"/>
      <c r="S2" s="3"/>
      <c r="T2" s="3"/>
      <c r="U2" s="3"/>
      <c r="V2" s="3"/>
      <c r="W2" s="3"/>
      <c r="X2" s="3"/>
      <c r="Y2" s="3"/>
      <c r="Z2" s="3"/>
      <c r="AA2" s="3"/>
      <c r="AB2" s="3"/>
      <c r="AC2" s="3"/>
      <c r="AD2" s="3"/>
    </row>
    <row r="3" spans="1:30" ht="12.95" customHeight="1" x14ac:dyDescent="0.2">
      <c r="A3" s="1" t="s">
        <v>87</v>
      </c>
      <c r="B3" s="69">
        <v>11700</v>
      </c>
      <c r="C3" s="69">
        <v>11700</v>
      </c>
      <c r="D3" s="72">
        <v>65.510781299936184</v>
      </c>
      <c r="E3" s="72">
        <f>ROUND(D3*C3,-1)/1000</f>
        <v>766.48</v>
      </c>
      <c r="F3" s="75">
        <f t="shared" ref="F3:F56" si="0">E3/36.744</f>
        <v>20.860004354452428</v>
      </c>
      <c r="G3" s="3"/>
      <c r="H3" s="3"/>
      <c r="I3" s="4"/>
      <c r="J3" s="6"/>
      <c r="K3" s="6"/>
      <c r="L3" s="3"/>
      <c r="M3" s="3"/>
      <c r="N3" s="3"/>
      <c r="O3" s="3"/>
      <c r="P3" s="3"/>
      <c r="Q3" s="3"/>
      <c r="R3" s="3"/>
      <c r="S3" s="3"/>
      <c r="T3" s="3"/>
      <c r="U3" s="3"/>
      <c r="V3" s="3"/>
      <c r="W3" s="3"/>
      <c r="X3" s="3"/>
      <c r="Y3" s="3"/>
      <c r="Z3" s="3"/>
      <c r="AA3" s="3"/>
      <c r="AB3" s="3"/>
      <c r="AC3" s="3"/>
      <c r="AD3" s="3"/>
    </row>
    <row r="4" spans="1:30" ht="12.95" customHeight="1" x14ac:dyDescent="0.2">
      <c r="A4" s="1" t="s">
        <v>88</v>
      </c>
      <c r="B4" s="69">
        <v>88900</v>
      </c>
      <c r="C4" s="69">
        <v>88900</v>
      </c>
      <c r="D4" s="72">
        <v>79.416424892715753</v>
      </c>
      <c r="E4" s="72">
        <f t="shared" ref="E4:E56" si="1">ROUND(D4*C4,-1)/1000</f>
        <v>7060.12</v>
      </c>
      <c r="F4" s="75">
        <f t="shared" si="0"/>
        <v>192.14347920748966</v>
      </c>
      <c r="G4" s="3"/>
      <c r="H4" s="3"/>
      <c r="I4" s="4"/>
      <c r="J4" s="6"/>
      <c r="K4" s="6"/>
      <c r="L4" s="3"/>
      <c r="M4" s="3"/>
      <c r="N4" s="3"/>
      <c r="O4" s="3"/>
      <c r="P4" s="3"/>
      <c r="Q4" s="3"/>
      <c r="R4" s="3"/>
      <c r="S4" s="3"/>
      <c r="T4" s="3"/>
      <c r="U4" s="3"/>
      <c r="V4" s="3"/>
      <c r="W4" s="3"/>
      <c r="X4" s="3"/>
      <c r="Y4" s="3"/>
      <c r="Z4" s="3"/>
      <c r="AA4" s="3"/>
      <c r="AB4" s="3"/>
      <c r="AC4" s="3"/>
      <c r="AD4" s="3"/>
    </row>
    <row r="5" spans="1:30" ht="12.95" customHeight="1" x14ac:dyDescent="0.2">
      <c r="A5" s="1" t="s">
        <v>89</v>
      </c>
      <c r="B5" s="69">
        <v>35500</v>
      </c>
      <c r="C5" s="69">
        <v>35500</v>
      </c>
      <c r="D5" s="72">
        <v>74.554969603641894</v>
      </c>
      <c r="E5" s="72">
        <f t="shared" si="1"/>
        <v>2646.7</v>
      </c>
      <c r="F5" s="75">
        <f t="shared" si="0"/>
        <v>72.03080775092532</v>
      </c>
      <c r="G5" s="3"/>
      <c r="H5" s="3"/>
      <c r="I5" s="4"/>
      <c r="J5" s="6"/>
      <c r="K5" s="6"/>
      <c r="L5" s="3"/>
      <c r="M5" s="3"/>
      <c r="N5" s="3"/>
      <c r="O5" s="3"/>
      <c r="P5" s="3"/>
      <c r="Q5" s="3"/>
      <c r="R5" s="3"/>
      <c r="S5" s="3"/>
      <c r="T5" s="3"/>
      <c r="U5" s="3"/>
      <c r="V5" s="3"/>
      <c r="W5" s="3"/>
      <c r="X5" s="3"/>
      <c r="Y5" s="3"/>
      <c r="Z5" s="3"/>
      <c r="AA5" s="3"/>
      <c r="AB5" s="3"/>
      <c r="AC5" s="3"/>
      <c r="AD5" s="3"/>
    </row>
    <row r="6" spans="1:30" ht="12.95" customHeight="1" x14ac:dyDescent="0.2">
      <c r="A6" s="1" t="s">
        <v>90</v>
      </c>
      <c r="B6" s="69">
        <v>51800</v>
      </c>
      <c r="C6" s="69">
        <v>51800</v>
      </c>
      <c r="D6" s="72">
        <v>67.83865934056864</v>
      </c>
      <c r="E6" s="72">
        <f t="shared" si="1"/>
        <v>3514.04</v>
      </c>
      <c r="F6" s="75">
        <f t="shared" si="0"/>
        <v>95.635750054430659</v>
      </c>
      <c r="G6" s="3"/>
      <c r="H6" s="3"/>
      <c r="I6" s="4"/>
      <c r="J6" s="6"/>
      <c r="K6" s="6"/>
      <c r="L6" s="3"/>
      <c r="M6" s="3"/>
      <c r="N6" s="3"/>
      <c r="O6" s="3"/>
      <c r="P6" s="3"/>
      <c r="Q6" s="3"/>
      <c r="R6" s="3"/>
      <c r="S6" s="3"/>
      <c r="T6" s="3"/>
      <c r="U6" s="3"/>
      <c r="V6" s="3"/>
      <c r="W6" s="3"/>
      <c r="X6" s="3"/>
      <c r="Y6" s="3"/>
      <c r="Z6" s="3"/>
      <c r="AA6" s="3"/>
      <c r="AB6" s="3"/>
      <c r="AC6" s="3"/>
      <c r="AD6" s="3"/>
    </row>
    <row r="7" spans="1:30" ht="12.95" customHeight="1" x14ac:dyDescent="0.2">
      <c r="A7" s="1" t="s">
        <v>91</v>
      </c>
      <c r="B7" s="69">
        <v>27300</v>
      </c>
      <c r="C7" s="69">
        <v>27300</v>
      </c>
      <c r="D7" s="72">
        <v>52.110187497568603</v>
      </c>
      <c r="E7" s="72">
        <f t="shared" si="1"/>
        <v>1422.61</v>
      </c>
      <c r="F7" s="75">
        <f t="shared" si="0"/>
        <v>38.716797300239492</v>
      </c>
      <c r="G7" s="3"/>
      <c r="H7" s="3"/>
      <c r="I7" s="4"/>
      <c r="J7" s="6"/>
      <c r="K7" s="6"/>
      <c r="L7" s="3"/>
      <c r="M7" s="3"/>
      <c r="N7" s="3"/>
      <c r="O7" s="3"/>
      <c r="P7" s="3"/>
      <c r="Q7" s="3"/>
      <c r="R7" s="3"/>
      <c r="S7" s="3"/>
      <c r="T7" s="3"/>
      <c r="U7" s="3"/>
      <c r="V7" s="3"/>
      <c r="W7" s="3"/>
      <c r="X7" s="3"/>
      <c r="Y7" s="3"/>
      <c r="Z7" s="3"/>
      <c r="AA7" s="3"/>
      <c r="AB7" s="3"/>
      <c r="AC7" s="3"/>
      <c r="AD7" s="3"/>
    </row>
    <row r="8" spans="1:30" ht="12.95" customHeight="1" x14ac:dyDescent="0.2">
      <c r="A8" s="1" t="s">
        <v>92</v>
      </c>
      <c r="B8" s="69">
        <v>7300</v>
      </c>
      <c r="C8" s="69">
        <v>7300</v>
      </c>
      <c r="D8" s="72">
        <v>56.276014400089736</v>
      </c>
      <c r="E8" s="72">
        <f t="shared" si="1"/>
        <v>410.81</v>
      </c>
      <c r="F8" s="75">
        <f t="shared" si="0"/>
        <v>11.180328761158284</v>
      </c>
      <c r="G8" s="3"/>
      <c r="H8" s="3"/>
      <c r="I8" s="4"/>
      <c r="J8" s="6"/>
      <c r="K8" s="6"/>
      <c r="L8" s="3"/>
      <c r="M8" s="3"/>
      <c r="N8" s="3"/>
      <c r="O8" s="3"/>
      <c r="P8" s="3"/>
      <c r="Q8" s="3"/>
      <c r="R8" s="3"/>
      <c r="S8" s="3"/>
      <c r="T8" s="3"/>
      <c r="U8" s="3"/>
      <c r="V8" s="3"/>
      <c r="W8" s="3"/>
      <c r="X8" s="3"/>
      <c r="Y8" s="3"/>
      <c r="Z8" s="3"/>
      <c r="AA8" s="3"/>
      <c r="AB8" s="3"/>
      <c r="AC8" s="3"/>
      <c r="AD8" s="3"/>
    </row>
    <row r="9" spans="1:30" ht="12.95" customHeight="1" x14ac:dyDescent="0.2">
      <c r="A9" s="1" t="s">
        <v>93</v>
      </c>
      <c r="B9" s="69">
        <v>108000</v>
      </c>
      <c r="C9" s="69">
        <v>108000</v>
      </c>
      <c r="D9" s="72">
        <v>77.210027164351004</v>
      </c>
      <c r="E9" s="72">
        <f t="shared" si="1"/>
        <v>8338.68</v>
      </c>
      <c r="F9" s="75">
        <f t="shared" si="0"/>
        <v>226.93990855649903</v>
      </c>
      <c r="G9" s="3"/>
      <c r="H9" s="3"/>
      <c r="I9" s="4"/>
      <c r="J9" s="6"/>
      <c r="K9" s="6"/>
      <c r="L9" s="3"/>
      <c r="M9" s="3"/>
      <c r="N9" s="3"/>
      <c r="O9" s="3"/>
      <c r="P9" s="3"/>
      <c r="Q9" s="3"/>
      <c r="R9" s="3"/>
      <c r="S9" s="3"/>
      <c r="T9" s="3"/>
      <c r="U9" s="3"/>
      <c r="V9" s="3"/>
      <c r="W9" s="3"/>
      <c r="X9" s="3"/>
      <c r="Y9" s="3"/>
      <c r="Z9" s="3"/>
      <c r="AA9" s="3"/>
      <c r="AB9" s="3"/>
      <c r="AC9" s="3"/>
      <c r="AD9" s="3"/>
    </row>
    <row r="10" spans="1:30" ht="12.95" customHeight="1" x14ac:dyDescent="0.2">
      <c r="A10" s="1" t="s">
        <v>94</v>
      </c>
      <c r="B10" s="69">
        <v>75500</v>
      </c>
      <c r="C10" s="69">
        <v>75500</v>
      </c>
      <c r="D10" s="72">
        <v>77.593907855626796</v>
      </c>
      <c r="E10" s="72">
        <f t="shared" si="1"/>
        <v>5858.34</v>
      </c>
      <c r="F10" s="75">
        <f t="shared" si="0"/>
        <v>159.43664271717833</v>
      </c>
      <c r="G10" s="3"/>
      <c r="H10" s="3"/>
      <c r="I10" s="3"/>
      <c r="J10" s="3"/>
      <c r="K10" s="3"/>
      <c r="L10" s="3"/>
      <c r="M10" s="3"/>
      <c r="N10" s="3"/>
      <c r="O10" s="3"/>
      <c r="P10" s="3"/>
      <c r="Q10" s="3"/>
      <c r="R10" s="3"/>
      <c r="S10" s="3"/>
      <c r="T10" s="3"/>
      <c r="U10" s="3"/>
      <c r="V10" s="3"/>
      <c r="W10" s="3"/>
      <c r="X10" s="3"/>
      <c r="Y10" s="3"/>
      <c r="Z10" s="3"/>
      <c r="AA10" s="3"/>
      <c r="AB10" s="3"/>
      <c r="AC10" s="3"/>
      <c r="AD10" s="3"/>
    </row>
    <row r="11" spans="1:30" ht="12.95" customHeight="1" x14ac:dyDescent="0.2">
      <c r="A11" s="1" t="s">
        <v>95</v>
      </c>
      <c r="B11" s="69">
        <v>11800</v>
      </c>
      <c r="C11" s="69">
        <v>11800</v>
      </c>
      <c r="D11" s="72">
        <v>46.853009978017589</v>
      </c>
      <c r="E11" s="72">
        <f t="shared" si="1"/>
        <v>552.87</v>
      </c>
      <c r="F11" s="75">
        <f t="shared" si="0"/>
        <v>15.046538210320053</v>
      </c>
      <c r="G11" s="8"/>
      <c r="H11" s="3"/>
      <c r="I11" s="4"/>
      <c r="J11" s="6"/>
      <c r="K11" s="6"/>
      <c r="L11" s="3"/>
      <c r="M11" s="3"/>
      <c r="N11" s="3"/>
      <c r="O11" s="3"/>
      <c r="P11" s="3"/>
      <c r="Q11" s="3"/>
      <c r="R11" s="3"/>
      <c r="S11" s="3"/>
      <c r="T11" s="3"/>
      <c r="U11" s="3"/>
      <c r="V11" s="3"/>
      <c r="W11" s="3"/>
      <c r="X11" s="3"/>
      <c r="Y11" s="3"/>
      <c r="Z11" s="3"/>
      <c r="AA11" s="3"/>
      <c r="AB11" s="3"/>
      <c r="AC11" s="3"/>
      <c r="AD11" s="3"/>
    </row>
    <row r="12" spans="1:30" ht="12.95" customHeight="1" x14ac:dyDescent="0.2">
      <c r="A12" s="1" t="s">
        <v>96</v>
      </c>
      <c r="B12" s="69">
        <v>35500</v>
      </c>
      <c r="C12" s="69">
        <v>35500</v>
      </c>
      <c r="D12" s="72">
        <v>78.671923784286108</v>
      </c>
      <c r="E12" s="72">
        <f t="shared" si="1"/>
        <v>2792.85</v>
      </c>
      <c r="F12" s="75">
        <f t="shared" si="0"/>
        <v>76.008327890267793</v>
      </c>
      <c r="G12" s="3"/>
      <c r="H12" s="3"/>
      <c r="I12" s="3"/>
      <c r="J12" s="3"/>
      <c r="K12" s="3"/>
      <c r="L12" s="3"/>
      <c r="M12" s="3"/>
      <c r="N12" s="3"/>
      <c r="O12" s="3"/>
      <c r="P12" s="3"/>
      <c r="Q12" s="3"/>
      <c r="R12" s="3"/>
      <c r="S12" s="3"/>
      <c r="T12" s="3"/>
      <c r="U12" s="3"/>
      <c r="V12" s="3"/>
      <c r="W12" s="3"/>
      <c r="X12" s="3"/>
      <c r="Y12" s="3"/>
      <c r="Z12" s="3"/>
      <c r="AA12" s="3"/>
      <c r="AB12" s="3"/>
      <c r="AC12" s="3"/>
      <c r="AD12" s="3"/>
    </row>
    <row r="13" spans="1:30" ht="12.95" customHeight="1" x14ac:dyDescent="0.25">
      <c r="A13" s="17" t="s">
        <v>135</v>
      </c>
      <c r="B13" s="26">
        <v>453300</v>
      </c>
      <c r="C13" s="26">
        <v>453300</v>
      </c>
      <c r="D13" s="27">
        <v>73.602470769909559</v>
      </c>
      <c r="E13" s="25">
        <f t="shared" si="1"/>
        <v>33364</v>
      </c>
      <c r="F13" s="76">
        <f t="shared" si="0"/>
        <v>908.01219246679727</v>
      </c>
      <c r="G13" s="9"/>
      <c r="H13" s="9"/>
      <c r="I13" s="11"/>
      <c r="J13" s="10"/>
      <c r="K13" s="10"/>
      <c r="L13" s="9"/>
      <c r="M13" s="9"/>
      <c r="N13" s="9"/>
      <c r="O13" s="9"/>
      <c r="P13" s="9"/>
      <c r="Q13" s="9"/>
      <c r="R13" s="3"/>
      <c r="S13" s="3"/>
      <c r="T13" s="3"/>
      <c r="U13" s="3"/>
      <c r="V13" s="3"/>
      <c r="W13" s="3"/>
      <c r="X13" s="3"/>
      <c r="Y13" s="3"/>
      <c r="Z13" s="3"/>
      <c r="AA13" s="3"/>
      <c r="AB13" s="3"/>
      <c r="AC13" s="3"/>
      <c r="AD13" s="3"/>
    </row>
    <row r="14" spans="1:30" ht="12.95" customHeight="1" x14ac:dyDescent="0.2">
      <c r="A14" s="1" t="s">
        <v>97</v>
      </c>
      <c r="B14" s="69">
        <v>15000</v>
      </c>
      <c r="C14" s="69">
        <v>15000</v>
      </c>
      <c r="D14" s="72">
        <v>77.198902646126328</v>
      </c>
      <c r="E14" s="72">
        <f t="shared" si="1"/>
        <v>1157.98</v>
      </c>
      <c r="F14" s="75">
        <f t="shared" si="0"/>
        <v>31.514805138253866</v>
      </c>
      <c r="G14" s="3"/>
      <c r="H14" s="3"/>
      <c r="I14" s="4"/>
      <c r="J14" s="6"/>
      <c r="K14" s="6"/>
      <c r="L14" s="3"/>
      <c r="M14" s="3"/>
      <c r="N14" s="3"/>
      <c r="O14" s="3"/>
      <c r="P14" s="3"/>
      <c r="Q14" s="3"/>
      <c r="R14" s="3"/>
      <c r="S14" s="3"/>
      <c r="T14" s="3"/>
      <c r="U14" s="3"/>
      <c r="V14" s="3"/>
      <c r="W14" s="3"/>
      <c r="X14" s="3"/>
      <c r="Y14" s="3"/>
      <c r="Z14" s="3"/>
      <c r="AA14" s="3"/>
      <c r="AB14" s="3"/>
      <c r="AC14" s="3"/>
      <c r="AD14" s="3"/>
    </row>
    <row r="15" spans="1:30" ht="12.95" customHeight="1" x14ac:dyDescent="0.2">
      <c r="A15" s="1" t="s">
        <v>98</v>
      </c>
      <c r="B15" s="69">
        <v>7400</v>
      </c>
      <c r="C15" s="69">
        <v>7400</v>
      </c>
      <c r="D15" s="72">
        <v>70.474196522670638</v>
      </c>
      <c r="E15" s="72">
        <f t="shared" si="1"/>
        <v>521.51</v>
      </c>
      <c r="F15" s="75">
        <f t="shared" si="0"/>
        <v>14.193065534509035</v>
      </c>
      <c r="G15" s="3"/>
      <c r="H15" s="3"/>
      <c r="I15" s="4"/>
      <c r="J15" s="6"/>
      <c r="K15" s="6"/>
      <c r="L15" s="3"/>
      <c r="M15" s="3"/>
      <c r="N15" s="3"/>
      <c r="O15" s="3"/>
      <c r="P15" s="3"/>
      <c r="Q15" s="3"/>
      <c r="R15" s="3"/>
      <c r="S15" s="3"/>
      <c r="T15" s="3"/>
      <c r="U15" s="3"/>
      <c r="V15" s="3"/>
      <c r="W15" s="3"/>
      <c r="X15" s="3"/>
      <c r="Y15" s="3"/>
      <c r="Z15" s="3"/>
      <c r="AA15" s="3"/>
      <c r="AB15" s="3"/>
      <c r="AC15" s="3"/>
      <c r="AD15" s="3"/>
    </row>
    <row r="16" spans="1:30" ht="12.95" customHeight="1" x14ac:dyDescent="0.2">
      <c r="A16" s="1" t="s">
        <v>99</v>
      </c>
      <c r="B16" s="69">
        <v>4700</v>
      </c>
      <c r="C16" s="69">
        <v>4700</v>
      </c>
      <c r="D16" s="72">
        <v>59.942280921993834</v>
      </c>
      <c r="E16" s="72">
        <f t="shared" si="1"/>
        <v>281.73</v>
      </c>
      <c r="F16" s="75">
        <f t="shared" si="0"/>
        <v>7.6673742651861536</v>
      </c>
      <c r="G16" s="3"/>
      <c r="H16" s="3"/>
      <c r="I16" s="4"/>
      <c r="J16" s="6"/>
      <c r="K16" s="6"/>
      <c r="L16" s="3"/>
      <c r="M16" s="3"/>
      <c r="N16" s="3"/>
      <c r="O16" s="3"/>
      <c r="P16" s="3"/>
      <c r="Q16" s="3"/>
      <c r="R16" s="3"/>
      <c r="S16" s="3"/>
      <c r="T16" s="3"/>
      <c r="U16" s="3"/>
      <c r="V16" s="3"/>
      <c r="W16" s="3"/>
      <c r="X16" s="3"/>
      <c r="Y16" s="3"/>
      <c r="Z16" s="3"/>
      <c r="AA16" s="3"/>
      <c r="AB16" s="3"/>
      <c r="AC16" s="3"/>
      <c r="AD16" s="3"/>
    </row>
    <row r="17" spans="1:30" ht="12.95" customHeight="1" x14ac:dyDescent="0.2">
      <c r="A17" s="1" t="s">
        <v>100</v>
      </c>
      <c r="B17" s="69">
        <v>7300</v>
      </c>
      <c r="C17" s="69">
        <v>7300</v>
      </c>
      <c r="D17" s="72">
        <v>59.574507774902685</v>
      </c>
      <c r="E17" s="72">
        <f t="shared" si="1"/>
        <v>434.89</v>
      </c>
      <c r="F17" s="75">
        <f t="shared" si="0"/>
        <v>11.835673851513173</v>
      </c>
      <c r="G17" s="3"/>
      <c r="H17" s="3"/>
      <c r="I17" s="4"/>
      <c r="J17" s="6"/>
      <c r="K17" s="6"/>
      <c r="L17" s="3"/>
      <c r="M17" s="3"/>
      <c r="N17" s="3"/>
      <c r="O17" s="3"/>
      <c r="P17" s="3"/>
      <c r="Q17" s="3"/>
      <c r="R17" s="3"/>
      <c r="S17" s="3"/>
      <c r="T17" s="3"/>
      <c r="U17" s="3"/>
      <c r="V17" s="3"/>
      <c r="W17" s="3"/>
      <c r="X17" s="3"/>
      <c r="Y17" s="3"/>
      <c r="Z17" s="3"/>
      <c r="AA17" s="3"/>
      <c r="AB17" s="3"/>
      <c r="AC17" s="3"/>
      <c r="AD17" s="3"/>
    </row>
    <row r="18" spans="1:30" ht="12.95" customHeight="1" x14ac:dyDescent="0.2">
      <c r="A18" s="1" t="s">
        <v>101</v>
      </c>
      <c r="B18" s="69">
        <v>65000</v>
      </c>
      <c r="C18" s="69">
        <v>65000</v>
      </c>
      <c r="D18" s="72">
        <v>76.06645165891517</v>
      </c>
      <c r="E18" s="72">
        <f t="shared" si="1"/>
        <v>4944.32</v>
      </c>
      <c r="F18" s="75">
        <f t="shared" si="0"/>
        <v>134.56128891791857</v>
      </c>
      <c r="G18" s="3"/>
      <c r="H18" s="3"/>
      <c r="I18" s="4"/>
      <c r="J18" s="6"/>
      <c r="K18" s="6"/>
      <c r="L18" s="3"/>
      <c r="M18" s="3"/>
      <c r="N18" s="3"/>
      <c r="O18" s="3"/>
      <c r="P18" s="3"/>
      <c r="Q18" s="3"/>
      <c r="R18" s="3"/>
      <c r="S18" s="3"/>
      <c r="T18" s="3"/>
      <c r="U18" s="3"/>
      <c r="V18" s="3"/>
      <c r="W18" s="3"/>
      <c r="X18" s="3"/>
      <c r="Y18" s="3"/>
      <c r="Z18" s="3"/>
      <c r="AA18" s="3"/>
      <c r="AB18" s="3"/>
      <c r="AC18" s="3"/>
      <c r="AD18" s="3"/>
    </row>
    <row r="19" spans="1:30" ht="12.95" customHeight="1" x14ac:dyDescent="0.2">
      <c r="A19" s="1" t="s">
        <v>102</v>
      </c>
      <c r="B19" s="69">
        <v>5200</v>
      </c>
      <c r="C19" s="69">
        <v>5200</v>
      </c>
      <c r="D19" s="72">
        <v>67.401977868548641</v>
      </c>
      <c r="E19" s="72">
        <f t="shared" si="1"/>
        <v>350.49</v>
      </c>
      <c r="F19" s="75">
        <f t="shared" si="0"/>
        <v>9.5387001959503603</v>
      </c>
      <c r="G19" s="3"/>
      <c r="H19" s="3"/>
      <c r="I19" s="4"/>
      <c r="J19" s="6"/>
      <c r="K19" s="6"/>
      <c r="L19" s="3"/>
      <c r="M19" s="3"/>
      <c r="N19" s="3"/>
      <c r="O19" s="3"/>
      <c r="P19" s="3"/>
      <c r="Q19" s="3"/>
      <c r="R19" s="3"/>
      <c r="S19" s="3"/>
      <c r="T19" s="3"/>
      <c r="U19" s="3"/>
      <c r="V19" s="3"/>
      <c r="W19" s="3"/>
      <c r="X19" s="3"/>
      <c r="Y19" s="3"/>
      <c r="Z19" s="3"/>
      <c r="AA19" s="3"/>
      <c r="AB19" s="3"/>
      <c r="AC19" s="3"/>
      <c r="AD19" s="3"/>
    </row>
    <row r="20" spans="1:30" ht="12.95" customHeight="1" x14ac:dyDescent="0.2">
      <c r="A20" s="1" t="s">
        <v>103</v>
      </c>
      <c r="B20" s="69">
        <v>48700</v>
      </c>
      <c r="C20" s="69">
        <v>48700</v>
      </c>
      <c r="D20" s="72">
        <v>76.330055811638459</v>
      </c>
      <c r="E20" s="72">
        <f t="shared" si="1"/>
        <v>3717.27</v>
      </c>
      <c r="F20" s="75">
        <f t="shared" si="0"/>
        <v>101.16672109732201</v>
      </c>
      <c r="G20" s="3"/>
      <c r="H20" s="3"/>
      <c r="I20" s="4"/>
      <c r="J20" s="6"/>
      <c r="K20" s="6"/>
      <c r="L20" s="3"/>
      <c r="M20" s="3"/>
      <c r="N20" s="3"/>
      <c r="O20" s="3"/>
      <c r="P20" s="3"/>
      <c r="Q20" s="3"/>
      <c r="R20" s="3"/>
      <c r="S20" s="3"/>
      <c r="T20" s="3"/>
      <c r="U20" s="3"/>
      <c r="V20" s="3"/>
      <c r="W20" s="3"/>
      <c r="X20" s="3"/>
      <c r="Y20" s="3"/>
      <c r="Z20" s="3"/>
      <c r="AA20" s="3"/>
      <c r="AB20" s="3"/>
      <c r="AC20" s="3"/>
      <c r="AD20" s="3"/>
    </row>
    <row r="21" spans="1:30" ht="12.95" customHeight="1" x14ac:dyDescent="0.2">
      <c r="A21" s="1" t="s">
        <v>104</v>
      </c>
      <c r="B21" s="69">
        <v>27000</v>
      </c>
      <c r="C21" s="69">
        <v>27000</v>
      </c>
      <c r="D21" s="72">
        <v>71.339334399037313</v>
      </c>
      <c r="E21" s="72">
        <f t="shared" si="1"/>
        <v>1926.16</v>
      </c>
      <c r="F21" s="75">
        <f t="shared" si="0"/>
        <v>52.421075549749624</v>
      </c>
      <c r="G21" s="3"/>
      <c r="H21" s="3"/>
      <c r="I21" s="3"/>
      <c r="J21" s="3"/>
      <c r="K21" s="3"/>
      <c r="L21" s="3"/>
      <c r="M21" s="3"/>
      <c r="N21" s="3"/>
      <c r="O21" s="3"/>
      <c r="P21" s="3"/>
      <c r="Q21" s="3"/>
      <c r="R21" s="3"/>
      <c r="S21" s="3"/>
      <c r="T21" s="3"/>
      <c r="U21" s="3"/>
      <c r="V21" s="3"/>
      <c r="W21" s="3"/>
      <c r="X21" s="3"/>
      <c r="Y21" s="3"/>
      <c r="Z21" s="3"/>
      <c r="AA21" s="3"/>
      <c r="AB21" s="3"/>
      <c r="AC21" s="3"/>
      <c r="AD21" s="3"/>
    </row>
    <row r="22" spans="1:30" ht="12.95" customHeight="1" x14ac:dyDescent="0.2">
      <c r="A22" s="1" t="s">
        <v>105</v>
      </c>
      <c r="B22" s="69">
        <v>13000</v>
      </c>
      <c r="C22" s="69">
        <v>13000</v>
      </c>
      <c r="D22" s="72">
        <v>70.777382366585456</v>
      </c>
      <c r="E22" s="72">
        <f t="shared" si="1"/>
        <v>920.11</v>
      </c>
      <c r="F22" s="75">
        <f t="shared" si="0"/>
        <v>25.041095144785544</v>
      </c>
      <c r="G22" s="8"/>
      <c r="H22" s="3"/>
      <c r="I22" s="4"/>
      <c r="J22" s="6"/>
      <c r="K22" s="6"/>
      <c r="L22" s="3"/>
      <c r="M22" s="3"/>
      <c r="N22" s="3"/>
      <c r="O22" s="3"/>
      <c r="P22" s="3"/>
      <c r="Q22" s="3"/>
      <c r="R22" s="3"/>
      <c r="S22" s="3"/>
      <c r="T22" s="3"/>
      <c r="U22" s="3"/>
      <c r="V22" s="3"/>
      <c r="W22" s="3"/>
      <c r="X22" s="3"/>
      <c r="Y22" s="3"/>
      <c r="Z22" s="3"/>
      <c r="AA22" s="3"/>
      <c r="AB22" s="3"/>
      <c r="AC22" s="3"/>
      <c r="AD22" s="3"/>
    </row>
    <row r="23" spans="1:30" ht="12.95" customHeight="1" x14ac:dyDescent="0.2">
      <c r="A23" s="1" t="s">
        <v>106</v>
      </c>
      <c r="B23" s="69">
        <v>28700</v>
      </c>
      <c r="C23" s="69">
        <v>28700</v>
      </c>
      <c r="D23" s="72">
        <v>69.169226840814289</v>
      </c>
      <c r="E23" s="72">
        <f t="shared" si="1"/>
        <v>1985.16</v>
      </c>
      <c r="F23" s="75">
        <f t="shared" si="0"/>
        <v>54.026779882429786</v>
      </c>
      <c r="G23" s="3"/>
      <c r="H23" s="3"/>
      <c r="I23" s="3"/>
      <c r="J23" s="3"/>
      <c r="K23" s="3"/>
      <c r="L23" s="3"/>
      <c r="M23" s="3"/>
      <c r="N23" s="3"/>
      <c r="O23" s="3"/>
      <c r="P23" s="3"/>
      <c r="Q23" s="3"/>
      <c r="R23" s="3"/>
      <c r="S23" s="3"/>
      <c r="T23" s="3"/>
      <c r="U23" s="3"/>
      <c r="V23" s="3"/>
      <c r="W23" s="3"/>
      <c r="X23" s="3"/>
      <c r="Y23" s="3"/>
      <c r="Z23" s="3"/>
      <c r="AA23" s="3"/>
      <c r="AB23" s="3"/>
      <c r="AC23" s="3"/>
      <c r="AD23" s="3"/>
    </row>
    <row r="24" spans="1:30" ht="12.95" customHeight="1" x14ac:dyDescent="0.25">
      <c r="A24" s="17" t="s">
        <v>136</v>
      </c>
      <c r="B24" s="26">
        <v>222000</v>
      </c>
      <c r="C24" s="26">
        <v>222000</v>
      </c>
      <c r="D24" s="27">
        <v>73.148648648648646</v>
      </c>
      <c r="E24" s="25">
        <f t="shared" si="1"/>
        <v>16239</v>
      </c>
      <c r="F24" s="76">
        <f t="shared" si="0"/>
        <v>441.94970607446112</v>
      </c>
      <c r="G24" s="10"/>
      <c r="H24" s="9"/>
      <c r="I24" s="10"/>
      <c r="J24" s="6"/>
      <c r="K24" s="6"/>
      <c r="L24" s="3"/>
      <c r="M24" s="3"/>
      <c r="N24" s="3"/>
      <c r="O24" s="3"/>
      <c r="P24" s="3"/>
      <c r="Q24" s="3"/>
      <c r="R24" s="3"/>
      <c r="S24" s="3"/>
      <c r="T24" s="3"/>
      <c r="U24" s="3"/>
      <c r="V24" s="3"/>
      <c r="W24" s="3"/>
      <c r="X24" s="3"/>
      <c r="Y24" s="3"/>
      <c r="Z24" s="3"/>
      <c r="AA24" s="3"/>
      <c r="AB24" s="3"/>
      <c r="AC24" s="3"/>
      <c r="AD24" s="3"/>
    </row>
    <row r="25" spans="1:30" ht="12.95" customHeight="1" x14ac:dyDescent="0.2">
      <c r="A25" s="1" t="s">
        <v>107</v>
      </c>
      <c r="B25" s="69">
        <v>22800</v>
      </c>
      <c r="C25" s="69">
        <v>22800</v>
      </c>
      <c r="D25" s="72">
        <v>69.453052397864667</v>
      </c>
      <c r="E25" s="72">
        <f t="shared" si="1"/>
        <v>1583.53</v>
      </c>
      <c r="F25" s="75">
        <f t="shared" si="0"/>
        <v>43.096287829305467</v>
      </c>
      <c r="G25" s="6"/>
      <c r="H25" s="3"/>
      <c r="I25" s="6"/>
      <c r="J25" s="6"/>
      <c r="K25" s="6"/>
      <c r="L25" s="3"/>
      <c r="M25" s="3"/>
      <c r="N25" s="3"/>
      <c r="O25" s="3"/>
      <c r="P25" s="3"/>
      <c r="Q25" s="3"/>
      <c r="R25" s="3"/>
      <c r="S25" s="3"/>
      <c r="T25" s="3"/>
      <c r="U25" s="3"/>
      <c r="V25" s="3"/>
      <c r="W25" s="3"/>
      <c r="X25" s="3"/>
      <c r="Y25" s="3"/>
      <c r="Z25" s="3"/>
      <c r="AA25" s="3"/>
      <c r="AB25" s="3"/>
      <c r="AC25" s="3"/>
      <c r="AD25" s="3"/>
    </row>
    <row r="26" spans="1:30" ht="12.95" customHeight="1" x14ac:dyDescent="0.2">
      <c r="A26" s="1" t="s">
        <v>108</v>
      </c>
      <c r="B26" s="69" t="s">
        <v>64</v>
      </c>
      <c r="C26" s="69" t="s">
        <v>64</v>
      </c>
      <c r="D26" s="69" t="s">
        <v>64</v>
      </c>
      <c r="E26" s="69" t="s">
        <v>64</v>
      </c>
      <c r="F26" s="69" t="s">
        <v>64</v>
      </c>
      <c r="G26" s="3"/>
      <c r="H26" s="3"/>
      <c r="I26" s="4"/>
      <c r="J26" s="6"/>
      <c r="K26" s="6"/>
      <c r="L26" s="3"/>
      <c r="M26" s="3"/>
      <c r="N26" s="3"/>
      <c r="O26" s="3"/>
      <c r="P26" s="3"/>
      <c r="Q26" s="3"/>
      <c r="R26" s="3"/>
      <c r="S26" s="3"/>
      <c r="T26" s="3"/>
      <c r="U26" s="3"/>
      <c r="V26" s="3"/>
      <c r="W26" s="3"/>
      <c r="X26" s="3"/>
      <c r="Y26" s="3"/>
      <c r="Z26" s="3"/>
      <c r="AA26" s="3"/>
      <c r="AB26" s="3"/>
      <c r="AC26" s="3"/>
      <c r="AD26" s="3"/>
    </row>
    <row r="27" spans="1:30" ht="12.95" customHeight="1" x14ac:dyDescent="0.2">
      <c r="A27" s="1" t="s">
        <v>109</v>
      </c>
      <c r="B27" s="69">
        <v>3300</v>
      </c>
      <c r="C27" s="69">
        <v>3300</v>
      </c>
      <c r="D27" s="72">
        <v>63.394739235484877</v>
      </c>
      <c r="E27" s="72">
        <f t="shared" si="1"/>
        <v>209.2</v>
      </c>
      <c r="F27" s="75">
        <f t="shared" si="0"/>
        <v>5.6934465490964508</v>
      </c>
      <c r="G27" s="6"/>
      <c r="H27" s="3"/>
      <c r="I27" s="6"/>
      <c r="J27" s="5"/>
      <c r="K27" s="6"/>
      <c r="L27" s="3"/>
      <c r="M27" s="3"/>
      <c r="N27" s="3"/>
      <c r="O27" s="3"/>
      <c r="P27" s="3"/>
      <c r="Q27" s="3"/>
      <c r="R27" s="3"/>
      <c r="S27" s="3"/>
      <c r="T27" s="3"/>
      <c r="U27" s="3"/>
      <c r="V27" s="3"/>
      <c r="W27" s="3"/>
      <c r="X27" s="3"/>
      <c r="Y27" s="3"/>
      <c r="Z27" s="3"/>
      <c r="AA27" s="3"/>
      <c r="AB27" s="3"/>
      <c r="AC27" s="3"/>
      <c r="AD27" s="3"/>
    </row>
    <row r="28" spans="1:30" ht="12.95" customHeight="1" x14ac:dyDescent="0.2">
      <c r="A28" s="1" t="s">
        <v>110</v>
      </c>
      <c r="B28" s="69">
        <v>11100</v>
      </c>
      <c r="C28" s="69">
        <v>11100</v>
      </c>
      <c r="D28" s="72">
        <v>62.743014434443396</v>
      </c>
      <c r="E28" s="72">
        <f t="shared" si="1"/>
        <v>696.45</v>
      </c>
      <c r="F28" s="75">
        <f t="shared" si="0"/>
        <v>18.954114957544089</v>
      </c>
      <c r="G28" s="6"/>
      <c r="H28" s="3"/>
      <c r="I28" s="6"/>
      <c r="J28" s="5"/>
      <c r="K28" s="6"/>
      <c r="L28" s="3"/>
      <c r="M28" s="3"/>
      <c r="N28" s="3"/>
      <c r="O28" s="3"/>
      <c r="P28" s="3"/>
      <c r="Q28" s="3"/>
      <c r="R28" s="3"/>
      <c r="S28" s="3"/>
      <c r="T28" s="3"/>
      <c r="U28" s="3"/>
      <c r="V28" s="3"/>
      <c r="W28" s="3"/>
      <c r="X28" s="3"/>
      <c r="Y28" s="3"/>
      <c r="Z28" s="3"/>
      <c r="AA28" s="3"/>
      <c r="AB28" s="3"/>
      <c r="AC28" s="3"/>
      <c r="AD28" s="3"/>
    </row>
    <row r="29" spans="1:30" ht="12.95" customHeight="1" x14ac:dyDescent="0.2">
      <c r="A29" s="1" t="s">
        <v>111</v>
      </c>
      <c r="B29" s="69" t="s">
        <v>64</v>
      </c>
      <c r="C29" s="69" t="s">
        <v>64</v>
      </c>
      <c r="D29" s="69" t="s">
        <v>64</v>
      </c>
      <c r="E29" s="69" t="s">
        <v>64</v>
      </c>
      <c r="F29" s="69" t="s">
        <v>64</v>
      </c>
      <c r="G29" s="3"/>
      <c r="H29" s="3"/>
      <c r="I29" s="4"/>
      <c r="J29" s="6"/>
      <c r="K29" s="6"/>
      <c r="L29" s="3"/>
      <c r="M29" s="3"/>
      <c r="N29" s="3"/>
      <c r="O29" s="3"/>
      <c r="P29" s="3"/>
      <c r="Q29" s="3"/>
      <c r="R29" s="3"/>
      <c r="S29" s="3"/>
      <c r="T29" s="3"/>
      <c r="U29" s="3"/>
      <c r="V29" s="3"/>
      <c r="W29" s="3"/>
      <c r="X29" s="3"/>
      <c r="Y29" s="3"/>
      <c r="Z29" s="3"/>
      <c r="AA29" s="3"/>
      <c r="AB29" s="3"/>
      <c r="AC29" s="3"/>
      <c r="AD29" s="3"/>
    </row>
    <row r="30" spans="1:30" ht="12.95" customHeight="1" x14ac:dyDescent="0.2">
      <c r="A30" s="1" t="s">
        <v>112</v>
      </c>
      <c r="B30" s="69">
        <v>9700</v>
      </c>
      <c r="C30" s="69">
        <v>9700</v>
      </c>
      <c r="D30" s="72">
        <v>66.120268107647163</v>
      </c>
      <c r="E30" s="72">
        <f t="shared" si="1"/>
        <v>641.37</v>
      </c>
      <c r="F30" s="75">
        <f t="shared" si="0"/>
        <v>17.455094709340301</v>
      </c>
      <c r="G30" s="3"/>
      <c r="H30" s="3"/>
      <c r="I30" s="4"/>
      <c r="J30" s="6"/>
      <c r="K30" s="6"/>
      <c r="L30" s="3"/>
      <c r="M30" s="3"/>
      <c r="N30" s="3"/>
      <c r="O30" s="3"/>
      <c r="P30" s="3"/>
      <c r="Q30" s="3"/>
      <c r="R30" s="3"/>
      <c r="S30" s="3"/>
      <c r="T30" s="3"/>
      <c r="U30" s="3"/>
      <c r="V30" s="3"/>
      <c r="W30" s="3"/>
      <c r="X30" s="3"/>
      <c r="Y30" s="3"/>
      <c r="Z30" s="3"/>
      <c r="AA30" s="3"/>
      <c r="AB30" s="3"/>
      <c r="AC30" s="3"/>
      <c r="AD30" s="3"/>
    </row>
    <row r="31" spans="1:30" ht="12.95" customHeight="1" x14ac:dyDescent="0.2">
      <c r="A31" s="1" t="s">
        <v>113</v>
      </c>
      <c r="B31" s="69" t="s">
        <v>64</v>
      </c>
      <c r="C31" s="69" t="s">
        <v>64</v>
      </c>
      <c r="D31" s="69" t="s">
        <v>64</v>
      </c>
      <c r="E31" s="69" t="s">
        <v>64</v>
      </c>
      <c r="F31" s="69" t="s">
        <v>64</v>
      </c>
      <c r="G31" s="3"/>
      <c r="H31" s="3"/>
      <c r="I31" s="4"/>
      <c r="J31" s="6"/>
      <c r="K31" s="6"/>
      <c r="L31" s="3"/>
      <c r="M31" s="3"/>
      <c r="N31" s="3"/>
      <c r="O31" s="3"/>
      <c r="P31" s="3"/>
      <c r="Q31" s="3"/>
      <c r="R31" s="3"/>
      <c r="S31" s="3"/>
      <c r="T31" s="3"/>
      <c r="U31" s="3"/>
      <c r="V31" s="3"/>
      <c r="W31" s="3"/>
      <c r="X31" s="3"/>
      <c r="Y31" s="3"/>
      <c r="Z31" s="3"/>
      <c r="AA31" s="3"/>
      <c r="AB31" s="3"/>
      <c r="AC31" s="3"/>
      <c r="AD31" s="3"/>
    </row>
    <row r="32" spans="1:30" ht="12.95" customHeight="1" x14ac:dyDescent="0.2">
      <c r="A32" s="1" t="s">
        <v>114</v>
      </c>
      <c r="B32" s="69">
        <v>3100</v>
      </c>
      <c r="C32" s="69">
        <v>3100</v>
      </c>
      <c r="D32" s="72">
        <v>48.973940336424164</v>
      </c>
      <c r="E32" s="72">
        <f t="shared" si="1"/>
        <v>151.82</v>
      </c>
      <c r="F32" s="75">
        <f t="shared" si="0"/>
        <v>4.1318310472458091</v>
      </c>
      <c r="G32" s="3"/>
      <c r="H32" s="3"/>
      <c r="I32" s="4"/>
      <c r="J32" s="6"/>
      <c r="K32" s="6"/>
      <c r="L32" s="3"/>
      <c r="M32" s="3"/>
      <c r="N32" s="3"/>
      <c r="O32" s="3"/>
      <c r="P32" s="3"/>
      <c r="Q32" s="3"/>
      <c r="R32" s="3"/>
      <c r="S32" s="3"/>
      <c r="T32" s="3"/>
      <c r="U32" s="3"/>
      <c r="V32" s="3"/>
      <c r="W32" s="3"/>
      <c r="X32" s="3"/>
      <c r="Y32" s="3"/>
      <c r="Z32" s="3"/>
      <c r="AA32" s="3"/>
      <c r="AB32" s="3"/>
      <c r="AC32" s="3"/>
      <c r="AD32" s="3"/>
    </row>
    <row r="33" spans="1:30" ht="12.95" customHeight="1" x14ac:dyDescent="0.2">
      <c r="A33" s="1" t="s">
        <v>115</v>
      </c>
      <c r="B33" s="69">
        <v>7000</v>
      </c>
      <c r="C33" s="69">
        <v>7000</v>
      </c>
      <c r="D33" s="72">
        <v>73.025899944478823</v>
      </c>
      <c r="E33" s="72">
        <f t="shared" si="1"/>
        <v>511.18</v>
      </c>
      <c r="F33" s="75">
        <f t="shared" si="0"/>
        <v>13.911931199651644</v>
      </c>
      <c r="G33" s="3"/>
      <c r="H33" s="3"/>
      <c r="I33" s="3"/>
      <c r="J33" s="3"/>
      <c r="K33" s="3"/>
      <c r="L33" s="3"/>
      <c r="M33" s="3"/>
      <c r="N33" s="3"/>
      <c r="O33" s="3"/>
      <c r="P33" s="3"/>
      <c r="Q33" s="3"/>
      <c r="R33" s="3"/>
      <c r="S33" s="3"/>
      <c r="T33" s="3"/>
      <c r="U33" s="3"/>
      <c r="V33" s="3"/>
      <c r="W33" s="3"/>
      <c r="X33" s="3"/>
      <c r="Y33" s="3"/>
      <c r="Z33" s="3"/>
      <c r="AA33" s="3"/>
      <c r="AB33" s="3"/>
      <c r="AC33" s="3"/>
      <c r="AD33" s="3"/>
    </row>
    <row r="34" spans="1:30" ht="12.95" customHeight="1" x14ac:dyDescent="0.2">
      <c r="A34" s="1" t="s">
        <v>116</v>
      </c>
      <c r="B34" s="69">
        <v>5600</v>
      </c>
      <c r="C34" s="69">
        <v>5600</v>
      </c>
      <c r="D34" s="72">
        <v>68.491484371960794</v>
      </c>
      <c r="E34" s="72">
        <f t="shared" si="1"/>
        <v>383.55</v>
      </c>
      <c r="F34" s="75">
        <f t="shared" si="0"/>
        <v>10.438438928804704</v>
      </c>
      <c r="G34" s="6"/>
      <c r="H34" s="3"/>
      <c r="I34" s="6"/>
      <c r="J34" s="3"/>
      <c r="K34" s="3"/>
      <c r="L34" s="3"/>
      <c r="M34" s="3"/>
      <c r="N34" s="3"/>
      <c r="O34" s="3"/>
      <c r="P34" s="3"/>
      <c r="Q34" s="3"/>
      <c r="R34" s="3"/>
      <c r="S34" s="3"/>
      <c r="T34" s="3"/>
      <c r="U34" s="3"/>
      <c r="V34" s="3"/>
      <c r="W34" s="3"/>
      <c r="X34" s="3"/>
      <c r="Y34" s="3"/>
      <c r="Z34" s="3"/>
      <c r="AA34" s="3"/>
      <c r="AB34" s="3"/>
      <c r="AC34" s="3"/>
      <c r="AD34" s="3"/>
    </row>
    <row r="35" spans="1:30" ht="12.95" customHeight="1" x14ac:dyDescent="0.25">
      <c r="A35" s="17" t="s">
        <v>137</v>
      </c>
      <c r="B35" s="26">
        <v>62600</v>
      </c>
      <c r="C35" s="26">
        <v>62600</v>
      </c>
      <c r="D35" s="27">
        <v>66.725239616613422</v>
      </c>
      <c r="E35" s="25">
        <f t="shared" si="1"/>
        <v>4177</v>
      </c>
      <c r="F35" s="76">
        <f t="shared" si="0"/>
        <v>113.6784236882212</v>
      </c>
      <c r="G35" s="6"/>
      <c r="H35" s="3"/>
      <c r="I35" s="6"/>
      <c r="J35" s="6"/>
      <c r="K35" s="6"/>
      <c r="L35" s="3"/>
      <c r="M35" s="3"/>
      <c r="N35" s="3"/>
      <c r="O35" s="3"/>
      <c r="P35" s="3"/>
      <c r="Q35" s="3"/>
      <c r="R35" s="3"/>
      <c r="S35" s="3"/>
      <c r="T35" s="3"/>
      <c r="U35" s="3"/>
      <c r="V35" s="3"/>
      <c r="W35" s="3"/>
      <c r="X35" s="3"/>
      <c r="Y35" s="3"/>
      <c r="Z35" s="3"/>
      <c r="AA35" s="3"/>
      <c r="AB35" s="3"/>
      <c r="AC35" s="3"/>
      <c r="AD35" s="3"/>
    </row>
    <row r="36" spans="1:30" ht="12.95" customHeight="1" x14ac:dyDescent="0.2">
      <c r="A36" s="1" t="s">
        <v>117</v>
      </c>
      <c r="B36" s="69">
        <v>800</v>
      </c>
      <c r="C36" s="69">
        <v>800</v>
      </c>
      <c r="D36" s="72">
        <v>48.84569157015131</v>
      </c>
      <c r="E36" s="72">
        <f t="shared" si="1"/>
        <v>39.08</v>
      </c>
      <c r="F36" s="75">
        <f t="shared" si="0"/>
        <v>1.0635750054430655</v>
      </c>
      <c r="G36" s="6"/>
      <c r="H36" s="3"/>
      <c r="I36" s="6"/>
      <c r="J36" s="6"/>
      <c r="K36" s="6"/>
      <c r="L36" s="3"/>
      <c r="M36" s="3"/>
      <c r="N36" s="3"/>
      <c r="O36" s="3"/>
      <c r="P36" s="3"/>
      <c r="Q36" s="3"/>
      <c r="R36" s="3"/>
      <c r="S36" s="3"/>
      <c r="T36" s="3"/>
      <c r="U36" s="3"/>
      <c r="V36" s="3"/>
      <c r="W36" s="3"/>
      <c r="X36" s="3"/>
      <c r="Y36" s="3"/>
      <c r="Z36" s="3"/>
      <c r="AA36" s="3"/>
      <c r="AB36" s="3"/>
      <c r="AC36" s="3"/>
      <c r="AD36" s="3"/>
    </row>
    <row r="37" spans="1:30" ht="12.95" customHeight="1" x14ac:dyDescent="0.2">
      <c r="A37" s="1" t="s">
        <v>118</v>
      </c>
      <c r="B37" s="69">
        <v>800</v>
      </c>
      <c r="C37" s="69">
        <v>800</v>
      </c>
      <c r="D37" s="72">
        <v>45.732203902085587</v>
      </c>
      <c r="E37" s="72">
        <f t="shared" si="1"/>
        <v>36.590000000000003</v>
      </c>
      <c r="F37" s="75">
        <f t="shared" si="0"/>
        <v>0.99580883953842814</v>
      </c>
      <c r="G37" s="6"/>
      <c r="H37" s="3"/>
      <c r="I37" s="6"/>
      <c r="J37" s="6"/>
      <c r="K37" s="6"/>
      <c r="L37" s="3"/>
      <c r="M37" s="3"/>
      <c r="N37" s="3"/>
      <c r="O37" s="3"/>
      <c r="P37" s="3"/>
      <c r="Q37" s="3"/>
      <c r="R37" s="3"/>
      <c r="S37" s="3"/>
      <c r="T37" s="3"/>
      <c r="U37" s="3"/>
      <c r="V37" s="3"/>
      <c r="W37" s="3"/>
      <c r="X37" s="3"/>
      <c r="Y37" s="3"/>
      <c r="Z37" s="3"/>
      <c r="AA37" s="3"/>
      <c r="AB37" s="3"/>
      <c r="AC37" s="3"/>
      <c r="AD37" s="3"/>
    </row>
    <row r="38" spans="1:30" ht="12.95" customHeight="1" x14ac:dyDescent="0.2">
      <c r="A38" s="1" t="s">
        <v>119</v>
      </c>
      <c r="B38" s="69">
        <v>300</v>
      </c>
      <c r="C38" s="69">
        <v>300</v>
      </c>
      <c r="D38" s="72">
        <v>63.560202145648361</v>
      </c>
      <c r="E38" s="72">
        <f t="shared" si="1"/>
        <v>19.07</v>
      </c>
      <c r="F38" s="75">
        <f t="shared" si="0"/>
        <v>0.51899629871543651</v>
      </c>
      <c r="G38" s="6"/>
      <c r="H38" s="3"/>
      <c r="I38" s="6"/>
      <c r="J38" s="6"/>
      <c r="K38" s="6"/>
      <c r="L38" s="3"/>
      <c r="M38" s="3"/>
      <c r="N38" s="3"/>
      <c r="O38" s="3"/>
      <c r="P38" s="3"/>
      <c r="Q38" s="3"/>
      <c r="R38" s="3"/>
      <c r="S38" s="3"/>
      <c r="T38" s="3"/>
      <c r="U38" s="3"/>
      <c r="V38" s="3"/>
      <c r="W38" s="3"/>
      <c r="X38" s="3"/>
      <c r="Y38" s="3"/>
      <c r="Z38" s="3"/>
      <c r="AA38" s="3"/>
      <c r="AB38" s="3"/>
      <c r="AC38" s="3"/>
      <c r="AD38" s="3"/>
    </row>
    <row r="39" spans="1:30" ht="12.95" customHeight="1" x14ac:dyDescent="0.2">
      <c r="A39" s="1" t="s">
        <v>120</v>
      </c>
      <c r="B39" s="69">
        <v>5700</v>
      </c>
      <c r="C39" s="69">
        <v>5700</v>
      </c>
      <c r="D39" s="72">
        <v>49.153075273065816</v>
      </c>
      <c r="E39" s="72">
        <f t="shared" si="1"/>
        <v>280.17</v>
      </c>
      <c r="F39" s="75">
        <f t="shared" si="0"/>
        <v>7.6249183540169829</v>
      </c>
      <c r="G39" s="6"/>
      <c r="H39" s="3"/>
      <c r="I39" s="6"/>
      <c r="J39" s="6"/>
      <c r="K39" s="6"/>
      <c r="L39" s="3"/>
      <c r="M39" s="3"/>
      <c r="N39" s="3"/>
      <c r="O39" s="3"/>
      <c r="P39" s="3"/>
      <c r="Q39" s="3"/>
      <c r="R39" s="3"/>
      <c r="S39" s="3"/>
      <c r="T39" s="3"/>
      <c r="U39" s="3"/>
      <c r="V39" s="3"/>
      <c r="W39" s="3"/>
      <c r="X39" s="3"/>
      <c r="Y39" s="3"/>
      <c r="Z39" s="3"/>
      <c r="AA39" s="3"/>
      <c r="AB39" s="3"/>
      <c r="AC39" s="3"/>
      <c r="AD39" s="3"/>
    </row>
    <row r="40" spans="1:30" ht="12.95" customHeight="1" x14ac:dyDescent="0.2">
      <c r="A40" s="1" t="s">
        <v>121</v>
      </c>
      <c r="B40" s="69">
        <v>800</v>
      </c>
      <c r="C40" s="69">
        <v>800</v>
      </c>
      <c r="D40" s="72">
        <v>53.081264113107608</v>
      </c>
      <c r="E40" s="72">
        <f t="shared" si="1"/>
        <v>42.47</v>
      </c>
      <c r="F40" s="75">
        <f t="shared" si="0"/>
        <v>1.1558349662529936</v>
      </c>
      <c r="G40" s="6"/>
      <c r="H40" s="3"/>
      <c r="I40" s="6"/>
      <c r="J40" s="6"/>
      <c r="K40" s="6"/>
      <c r="L40" s="3"/>
      <c r="M40" s="3"/>
      <c r="N40" s="3"/>
      <c r="O40" s="3"/>
      <c r="P40" s="3"/>
      <c r="Q40" s="3"/>
      <c r="R40" s="3"/>
      <c r="S40" s="3"/>
      <c r="T40" s="3"/>
      <c r="U40" s="3"/>
      <c r="V40" s="3"/>
      <c r="W40" s="3"/>
      <c r="X40" s="3"/>
      <c r="Y40" s="3"/>
      <c r="Z40" s="3"/>
      <c r="AA40" s="3"/>
      <c r="AB40" s="3"/>
      <c r="AC40" s="3"/>
      <c r="AD40" s="3"/>
    </row>
    <row r="41" spans="1:30" ht="12.95" customHeight="1" x14ac:dyDescent="0.2">
      <c r="A41" s="1" t="s">
        <v>122</v>
      </c>
      <c r="B41" s="69">
        <v>500</v>
      </c>
      <c r="C41" s="69">
        <v>500</v>
      </c>
      <c r="D41" s="72">
        <v>50.744749454484868</v>
      </c>
      <c r="E41" s="72">
        <f t="shared" si="1"/>
        <v>25.37</v>
      </c>
      <c r="F41" s="75">
        <f t="shared" si="0"/>
        <v>0.69045286305247122</v>
      </c>
      <c r="G41" s="3"/>
      <c r="H41" s="3"/>
      <c r="I41" s="3"/>
      <c r="J41" s="6"/>
      <c r="K41" s="6"/>
      <c r="L41" s="3"/>
      <c r="M41" s="3"/>
      <c r="N41" s="3"/>
      <c r="O41" s="3"/>
      <c r="P41" s="3"/>
      <c r="Q41" s="3"/>
      <c r="R41" s="3"/>
      <c r="S41" s="3"/>
      <c r="T41" s="3"/>
      <c r="U41" s="3"/>
      <c r="V41" s="3"/>
      <c r="W41" s="3"/>
      <c r="X41" s="3"/>
      <c r="Y41" s="3"/>
      <c r="Z41" s="3"/>
      <c r="AA41" s="3"/>
      <c r="AB41" s="3"/>
      <c r="AC41" s="3"/>
      <c r="AD41" s="3"/>
    </row>
    <row r="42" spans="1:30" ht="12.95" customHeight="1" x14ac:dyDescent="0.2">
      <c r="A42" s="1" t="s">
        <v>123</v>
      </c>
      <c r="B42" s="69">
        <v>500</v>
      </c>
      <c r="C42" s="69">
        <v>500</v>
      </c>
      <c r="D42" s="72">
        <v>62.3328969710726</v>
      </c>
      <c r="E42" s="72">
        <f t="shared" si="1"/>
        <v>31.17</v>
      </c>
      <c r="F42" s="75">
        <f t="shared" si="0"/>
        <v>0.84830176355323328</v>
      </c>
      <c r="G42" s="3"/>
      <c r="H42" s="3"/>
      <c r="I42" s="3"/>
      <c r="J42" s="3"/>
      <c r="K42" s="3"/>
      <c r="L42" s="3"/>
      <c r="M42" s="3"/>
      <c r="N42" s="3"/>
      <c r="O42" s="3"/>
      <c r="P42" s="3"/>
      <c r="Q42" s="3"/>
      <c r="R42" s="3"/>
      <c r="S42" s="3"/>
      <c r="T42" s="3"/>
      <c r="U42" s="3"/>
      <c r="V42" s="3"/>
      <c r="W42" s="3"/>
      <c r="X42" s="3"/>
      <c r="Y42" s="3"/>
      <c r="Z42" s="3"/>
      <c r="AA42" s="3"/>
      <c r="AB42" s="3"/>
      <c r="AC42" s="3"/>
      <c r="AD42" s="3"/>
    </row>
    <row r="43" spans="1:30" ht="12.95" customHeight="1" x14ac:dyDescent="0.2">
      <c r="A43" s="1" t="s">
        <v>124</v>
      </c>
      <c r="B43" s="69">
        <v>1000</v>
      </c>
      <c r="C43" s="69">
        <v>1000</v>
      </c>
      <c r="D43" s="72">
        <v>46.633781865061707</v>
      </c>
      <c r="E43" s="72">
        <f t="shared" si="1"/>
        <v>46.63</v>
      </c>
      <c r="F43" s="75">
        <f t="shared" si="0"/>
        <v>1.2690507293707818</v>
      </c>
      <c r="G43" s="6"/>
      <c r="H43" s="3"/>
      <c r="I43" s="6"/>
      <c r="J43" s="3"/>
      <c r="K43" s="3"/>
      <c r="L43" s="3"/>
      <c r="M43" s="3"/>
      <c r="N43" s="3"/>
      <c r="O43" s="3"/>
      <c r="P43" s="3"/>
      <c r="Q43" s="3"/>
      <c r="R43" s="3"/>
      <c r="S43" s="3"/>
      <c r="T43" s="3"/>
      <c r="U43" s="3"/>
      <c r="V43" s="3"/>
      <c r="W43" s="3"/>
      <c r="X43" s="3"/>
      <c r="Y43" s="3"/>
      <c r="Z43" s="3"/>
      <c r="AA43" s="3"/>
      <c r="AB43" s="3"/>
      <c r="AC43" s="3"/>
      <c r="AD43" s="3"/>
    </row>
    <row r="44" spans="1:30" ht="12.95" customHeight="1" x14ac:dyDescent="0.25">
      <c r="A44" s="17" t="s">
        <v>138</v>
      </c>
      <c r="B44" s="26">
        <v>10400</v>
      </c>
      <c r="C44" s="26">
        <v>10400</v>
      </c>
      <c r="D44" s="27">
        <v>50</v>
      </c>
      <c r="E44" s="25">
        <f t="shared" si="1"/>
        <v>520</v>
      </c>
      <c r="F44" s="76">
        <f t="shared" si="0"/>
        <v>14.151970389723493</v>
      </c>
      <c r="G44" s="6"/>
      <c r="H44" s="3"/>
      <c r="I44" s="6"/>
      <c r="J44" s="6"/>
      <c r="K44" s="6"/>
      <c r="L44" s="3"/>
      <c r="M44" s="3"/>
      <c r="N44" s="3"/>
      <c r="O44" s="3"/>
      <c r="P44" s="3"/>
      <c r="Q44" s="3"/>
      <c r="R44" s="3"/>
      <c r="S44" s="3"/>
      <c r="T44" s="3"/>
      <c r="U44" s="3"/>
      <c r="V44" s="3"/>
      <c r="W44" s="3"/>
      <c r="X44" s="3"/>
      <c r="Y44" s="3"/>
      <c r="Z44" s="3"/>
      <c r="AA44" s="3"/>
      <c r="AB44" s="3"/>
      <c r="AC44" s="3"/>
      <c r="AD44" s="3"/>
    </row>
    <row r="45" spans="1:30" ht="12.95" customHeight="1" x14ac:dyDescent="0.2">
      <c r="A45" s="1" t="s">
        <v>125</v>
      </c>
      <c r="B45" s="69">
        <v>100</v>
      </c>
      <c r="C45" s="69">
        <v>100</v>
      </c>
      <c r="D45" s="69">
        <v>43.6846035358585</v>
      </c>
      <c r="E45" s="72">
        <f t="shared" si="1"/>
        <v>4.37</v>
      </c>
      <c r="F45" s="75">
        <f t="shared" si="0"/>
        <v>0.11893098192902243</v>
      </c>
      <c r="G45" s="6"/>
      <c r="H45" s="3"/>
      <c r="I45" s="6"/>
      <c r="J45" s="6"/>
      <c r="K45" s="6"/>
      <c r="L45" s="3"/>
      <c r="M45" s="3"/>
      <c r="N45" s="3"/>
      <c r="O45" s="3"/>
      <c r="P45" s="3"/>
      <c r="Q45" s="3"/>
      <c r="R45" s="3"/>
      <c r="S45" s="3"/>
      <c r="T45" s="3"/>
      <c r="U45" s="3"/>
      <c r="V45" s="3"/>
      <c r="W45" s="3"/>
      <c r="X45" s="3"/>
      <c r="Y45" s="3"/>
      <c r="Z45" s="3"/>
      <c r="AA45" s="3"/>
      <c r="AB45" s="3"/>
      <c r="AC45" s="3"/>
      <c r="AD45" s="3"/>
    </row>
    <row r="46" spans="1:30" ht="12.95" customHeight="1" x14ac:dyDescent="0.2">
      <c r="A46" s="1" t="s">
        <v>126</v>
      </c>
      <c r="B46" s="69" t="s">
        <v>64</v>
      </c>
      <c r="C46" s="69" t="s">
        <v>64</v>
      </c>
      <c r="D46" s="69" t="s">
        <v>64</v>
      </c>
      <c r="E46" s="69" t="s">
        <v>64</v>
      </c>
      <c r="F46" s="69" t="s">
        <v>64</v>
      </c>
      <c r="G46" s="6"/>
      <c r="H46" s="3"/>
      <c r="I46" s="6"/>
      <c r="J46" s="6"/>
      <c r="K46" s="6"/>
      <c r="L46" s="3"/>
      <c r="M46" s="3"/>
      <c r="N46" s="3"/>
      <c r="O46" s="3"/>
      <c r="P46" s="3"/>
      <c r="Q46" s="3"/>
      <c r="R46" s="3"/>
      <c r="S46" s="3"/>
      <c r="T46" s="3"/>
      <c r="U46" s="3"/>
      <c r="V46" s="3"/>
      <c r="W46" s="3"/>
      <c r="X46" s="3"/>
      <c r="Y46" s="3"/>
      <c r="Z46" s="3"/>
      <c r="AA46" s="3"/>
      <c r="AB46" s="3"/>
      <c r="AC46" s="3"/>
      <c r="AD46" s="3"/>
    </row>
    <row r="47" spans="1:30" ht="12.95" customHeight="1" x14ac:dyDescent="0.2">
      <c r="A47" s="1" t="s">
        <v>127</v>
      </c>
      <c r="B47" s="69" t="s">
        <v>64</v>
      </c>
      <c r="C47" s="69" t="s">
        <v>64</v>
      </c>
      <c r="D47" s="69" t="s">
        <v>64</v>
      </c>
      <c r="E47" s="69" t="s">
        <v>64</v>
      </c>
      <c r="F47" s="69" t="s">
        <v>64</v>
      </c>
      <c r="G47" s="6"/>
      <c r="H47" s="3"/>
      <c r="I47" s="6"/>
      <c r="J47" s="6"/>
      <c r="K47" s="6"/>
      <c r="L47" s="3"/>
      <c r="M47" s="3"/>
      <c r="N47" s="3"/>
      <c r="O47" s="3"/>
      <c r="P47" s="3"/>
      <c r="Q47" s="3"/>
      <c r="R47" s="3"/>
      <c r="S47" s="3"/>
      <c r="T47" s="3"/>
      <c r="U47" s="3"/>
      <c r="V47" s="3"/>
      <c r="W47" s="3"/>
      <c r="X47" s="3"/>
      <c r="Y47" s="3"/>
      <c r="Z47" s="3"/>
      <c r="AA47" s="3"/>
      <c r="AB47" s="3"/>
      <c r="AC47" s="3"/>
      <c r="AD47" s="3"/>
    </row>
    <row r="48" spans="1:30" ht="12.95" customHeight="1" x14ac:dyDescent="0.2">
      <c r="A48" s="1" t="s">
        <v>128</v>
      </c>
      <c r="B48" s="69">
        <v>300</v>
      </c>
      <c r="C48" s="69">
        <v>300</v>
      </c>
      <c r="D48" s="69">
        <v>47.873265311522538</v>
      </c>
      <c r="E48" s="72">
        <f t="shared" si="1"/>
        <v>14.36</v>
      </c>
      <c r="F48" s="75">
        <f t="shared" si="0"/>
        <v>0.39081210537774874</v>
      </c>
      <c r="G48" s="6"/>
      <c r="H48" s="3"/>
      <c r="I48" s="6"/>
      <c r="J48" s="6"/>
      <c r="K48" s="6"/>
      <c r="L48" s="3"/>
      <c r="M48" s="3"/>
      <c r="N48" s="3"/>
      <c r="O48" s="3"/>
      <c r="P48" s="3"/>
      <c r="Q48" s="3"/>
      <c r="R48" s="3"/>
      <c r="S48" s="3"/>
      <c r="T48" s="3"/>
      <c r="U48" s="3"/>
      <c r="V48" s="3"/>
      <c r="W48" s="3"/>
      <c r="X48" s="3"/>
      <c r="Y48" s="3"/>
      <c r="Z48" s="3"/>
      <c r="AA48" s="3"/>
      <c r="AB48" s="3"/>
      <c r="AC48" s="3"/>
      <c r="AD48" s="3"/>
    </row>
    <row r="49" spans="1:30" ht="12.95" customHeight="1" x14ac:dyDescent="0.2">
      <c r="A49" s="1" t="s">
        <v>129</v>
      </c>
      <c r="B49" s="69">
        <v>200</v>
      </c>
      <c r="C49" s="69">
        <v>200</v>
      </c>
      <c r="D49" s="69">
        <v>52.075870762424401</v>
      </c>
      <c r="E49" s="72">
        <f t="shared" si="1"/>
        <v>10.42</v>
      </c>
      <c r="F49" s="75">
        <f t="shared" si="0"/>
        <v>0.28358371434792073</v>
      </c>
      <c r="G49" s="6"/>
      <c r="H49" s="3"/>
      <c r="I49" s="6"/>
      <c r="J49" s="6"/>
      <c r="K49" s="6"/>
      <c r="L49" s="3"/>
      <c r="M49" s="3"/>
      <c r="N49" s="3"/>
      <c r="O49" s="3"/>
      <c r="P49" s="3"/>
      <c r="Q49" s="3"/>
      <c r="R49" s="3"/>
      <c r="S49" s="3"/>
      <c r="T49" s="3"/>
      <c r="U49" s="3"/>
      <c r="V49" s="3"/>
      <c r="W49" s="3"/>
      <c r="X49" s="3"/>
      <c r="Y49" s="3"/>
      <c r="Z49" s="3"/>
      <c r="AA49" s="3"/>
      <c r="AB49" s="3"/>
      <c r="AC49" s="3"/>
      <c r="AD49" s="3"/>
    </row>
    <row r="50" spans="1:30" ht="12.95" customHeight="1" x14ac:dyDescent="0.2">
      <c r="A50" s="1" t="s">
        <v>130</v>
      </c>
      <c r="B50" s="69" t="s">
        <v>64</v>
      </c>
      <c r="C50" s="69" t="s">
        <v>64</v>
      </c>
      <c r="D50" s="69" t="s">
        <v>64</v>
      </c>
      <c r="E50" s="69" t="s">
        <v>64</v>
      </c>
      <c r="F50" s="69" t="s">
        <v>64</v>
      </c>
      <c r="G50" s="3"/>
      <c r="H50" s="3"/>
      <c r="I50" s="3"/>
      <c r="J50" s="6"/>
      <c r="K50" s="6"/>
      <c r="L50" s="3"/>
      <c r="M50" s="3"/>
      <c r="N50" s="3"/>
      <c r="O50" s="3"/>
      <c r="P50" s="3"/>
      <c r="Q50" s="3"/>
      <c r="R50" s="3"/>
      <c r="S50" s="3"/>
      <c r="T50" s="3"/>
      <c r="U50" s="3"/>
      <c r="V50" s="3"/>
      <c r="W50" s="3"/>
      <c r="X50" s="3"/>
      <c r="Y50" s="3"/>
      <c r="Z50" s="3"/>
      <c r="AA50" s="3"/>
      <c r="AB50" s="3"/>
      <c r="AC50" s="3"/>
      <c r="AD50" s="3"/>
    </row>
    <row r="51" spans="1:30" ht="12.95" customHeight="1" x14ac:dyDescent="0.2">
      <c r="A51" s="1" t="s">
        <v>81</v>
      </c>
      <c r="B51" s="69" t="s">
        <v>64</v>
      </c>
      <c r="C51" s="69" t="s">
        <v>64</v>
      </c>
      <c r="D51" s="69" t="s">
        <v>64</v>
      </c>
      <c r="E51" s="69" t="s">
        <v>64</v>
      </c>
      <c r="F51" s="69" t="s">
        <v>64</v>
      </c>
      <c r="G51" s="3"/>
      <c r="H51" s="3"/>
      <c r="I51" s="4"/>
      <c r="J51" s="3"/>
      <c r="K51" s="3"/>
      <c r="L51" s="3"/>
      <c r="M51" s="3"/>
      <c r="N51" s="3"/>
      <c r="O51" s="3"/>
      <c r="P51" s="3"/>
      <c r="Q51" s="3"/>
      <c r="R51" s="3"/>
      <c r="S51" s="3"/>
      <c r="T51" s="3"/>
      <c r="U51" s="3"/>
      <c r="V51" s="3"/>
      <c r="W51" s="3"/>
      <c r="X51" s="3"/>
      <c r="Y51" s="3"/>
      <c r="Z51" s="3"/>
      <c r="AA51" s="3"/>
      <c r="AB51" s="3"/>
      <c r="AC51" s="3"/>
      <c r="AD51" s="3"/>
    </row>
    <row r="52" spans="1:30" ht="12.95" customHeight="1" x14ac:dyDescent="0.2">
      <c r="A52" s="1" t="s">
        <v>82</v>
      </c>
      <c r="B52" s="69" t="s">
        <v>64</v>
      </c>
      <c r="C52" s="69" t="s">
        <v>64</v>
      </c>
      <c r="D52" s="69" t="s">
        <v>64</v>
      </c>
      <c r="E52" s="69" t="s">
        <v>64</v>
      </c>
      <c r="F52" s="69" t="s">
        <v>64</v>
      </c>
      <c r="G52" s="3"/>
      <c r="H52" s="3"/>
      <c r="I52" s="4"/>
      <c r="J52" s="3"/>
      <c r="K52" s="3"/>
      <c r="L52" s="3"/>
      <c r="M52" s="3"/>
      <c r="N52" s="3"/>
      <c r="O52" s="3"/>
      <c r="P52" s="3"/>
      <c r="Q52" s="3"/>
      <c r="R52" s="3"/>
      <c r="S52" s="3"/>
      <c r="T52" s="3"/>
      <c r="U52" s="3"/>
      <c r="V52" s="3"/>
      <c r="W52" s="3"/>
      <c r="X52" s="3"/>
      <c r="Y52" s="3"/>
      <c r="Z52" s="3"/>
      <c r="AA52" s="3"/>
      <c r="AB52" s="3"/>
      <c r="AC52" s="3"/>
      <c r="AD52" s="3"/>
    </row>
    <row r="53" spans="1:30" ht="12.95" customHeight="1" x14ac:dyDescent="0.2">
      <c r="A53" s="1" t="s">
        <v>131</v>
      </c>
      <c r="B53" s="69" t="s">
        <v>64</v>
      </c>
      <c r="C53" s="69" t="s">
        <v>64</v>
      </c>
      <c r="D53" s="69" t="s">
        <v>64</v>
      </c>
      <c r="E53" s="69" t="s">
        <v>64</v>
      </c>
      <c r="F53" s="69" t="s">
        <v>64</v>
      </c>
      <c r="G53" s="3"/>
      <c r="H53" s="3"/>
      <c r="I53" s="3"/>
      <c r="J53" s="6"/>
      <c r="K53" s="6"/>
      <c r="L53" s="3"/>
      <c r="M53" s="3"/>
      <c r="N53" s="3"/>
      <c r="O53" s="3"/>
      <c r="P53" s="3"/>
      <c r="Q53" s="3"/>
      <c r="R53" s="3"/>
      <c r="S53" s="3"/>
      <c r="T53" s="3"/>
      <c r="U53" s="3"/>
      <c r="V53" s="3"/>
      <c r="W53" s="3"/>
      <c r="X53" s="3"/>
      <c r="Y53" s="3"/>
      <c r="Z53" s="3"/>
      <c r="AA53" s="3"/>
      <c r="AB53" s="3"/>
      <c r="AC53" s="3"/>
      <c r="AD53" s="3"/>
    </row>
    <row r="54" spans="1:30" ht="12.95" customHeight="1" x14ac:dyDescent="0.2">
      <c r="A54" s="1" t="s">
        <v>132</v>
      </c>
      <c r="B54" s="69">
        <v>1100</v>
      </c>
      <c r="C54" s="69">
        <v>1100</v>
      </c>
      <c r="D54" s="69">
        <v>65.244992545770387</v>
      </c>
      <c r="E54" s="72">
        <f t="shared" si="1"/>
        <v>71.77</v>
      </c>
      <c r="F54" s="75">
        <f t="shared" si="0"/>
        <v>1.9532440670585673</v>
      </c>
      <c r="G54" s="3"/>
      <c r="H54" s="3"/>
      <c r="I54" s="3"/>
      <c r="J54" s="3"/>
      <c r="K54" s="3"/>
      <c r="L54" s="3"/>
      <c r="M54" s="3"/>
      <c r="N54" s="3"/>
      <c r="O54" s="3"/>
      <c r="P54" s="3"/>
      <c r="Q54" s="3"/>
      <c r="R54" s="3"/>
      <c r="S54" s="3"/>
      <c r="T54" s="3"/>
      <c r="U54" s="3"/>
      <c r="V54" s="3"/>
      <c r="W54" s="3"/>
      <c r="X54" s="3"/>
      <c r="Y54" s="3"/>
      <c r="Z54" s="3"/>
      <c r="AA54" s="3"/>
      <c r="AB54" s="3"/>
      <c r="AC54" s="3"/>
      <c r="AD54" s="3"/>
    </row>
    <row r="55" spans="1:30" ht="12.95" customHeight="1" x14ac:dyDescent="0.25">
      <c r="A55" s="17" t="s">
        <v>139</v>
      </c>
      <c r="B55" s="26">
        <v>1700</v>
      </c>
      <c r="C55" s="26">
        <v>1700</v>
      </c>
      <c r="D55" s="27">
        <v>58.823529411764703</v>
      </c>
      <c r="E55" s="25">
        <f t="shared" si="1"/>
        <v>100</v>
      </c>
      <c r="F55" s="76">
        <f t="shared" si="0"/>
        <v>2.721532767254518</v>
      </c>
      <c r="G55" s="7"/>
      <c r="H55" s="3"/>
      <c r="I55" s="4"/>
      <c r="J55" s="3"/>
      <c r="K55" s="3"/>
      <c r="L55" s="3"/>
      <c r="M55" s="3"/>
      <c r="N55" s="3"/>
      <c r="O55" s="3"/>
      <c r="P55" s="3"/>
      <c r="Q55" s="3"/>
      <c r="R55" s="3"/>
      <c r="S55" s="3"/>
      <c r="T55" s="3"/>
      <c r="U55" s="3"/>
      <c r="V55" s="3"/>
      <c r="W55" s="3"/>
      <c r="X55" s="3"/>
      <c r="Y55" s="3"/>
      <c r="Z55" s="3"/>
      <c r="AA55" s="3"/>
      <c r="AB55" s="3"/>
      <c r="AC55" s="3"/>
      <c r="AD55" s="3"/>
    </row>
    <row r="56" spans="1:30" ht="12.95" customHeight="1" x14ac:dyDescent="0.25">
      <c r="A56" s="17" t="s">
        <v>0</v>
      </c>
      <c r="B56" s="26">
        <v>750000</v>
      </c>
      <c r="C56" s="26">
        <v>750000</v>
      </c>
      <c r="D56" s="27">
        <v>72.533333333333331</v>
      </c>
      <c r="E56" s="25">
        <f t="shared" si="1"/>
        <v>54400</v>
      </c>
      <c r="F56" s="76">
        <f t="shared" si="0"/>
        <v>1480.5138253864577</v>
      </c>
      <c r="G56" s="3"/>
      <c r="H56" s="3"/>
      <c r="I56" s="3"/>
      <c r="J56" s="6"/>
      <c r="K56" s="6"/>
      <c r="L56" s="3"/>
      <c r="M56" s="3"/>
      <c r="N56" s="3"/>
      <c r="O56" s="3"/>
      <c r="P56" s="3"/>
      <c r="Q56" s="3"/>
      <c r="R56" s="3"/>
      <c r="S56" s="3"/>
      <c r="T56" s="3"/>
      <c r="U56" s="3"/>
      <c r="V56" s="3"/>
      <c r="W56" s="3"/>
      <c r="X56" s="3"/>
      <c r="Y56" s="3"/>
      <c r="Z56" s="3"/>
      <c r="AA56" s="3"/>
      <c r="AB56" s="3"/>
      <c r="AC56" s="3"/>
      <c r="AD56" s="3"/>
    </row>
    <row r="57" spans="1:30" ht="12.95" customHeight="1" x14ac:dyDescent="0.2">
      <c r="A57" s="77"/>
      <c r="B57" s="77"/>
      <c r="C57" s="77"/>
      <c r="D57" s="77"/>
      <c r="E57" s="78"/>
      <c r="F57" s="79"/>
      <c r="G57" s="3"/>
      <c r="H57" s="3"/>
      <c r="I57" s="3"/>
      <c r="J57" s="3"/>
      <c r="K57" s="3"/>
      <c r="L57" s="3"/>
      <c r="M57" s="3"/>
      <c r="N57" s="3"/>
      <c r="O57" s="3"/>
      <c r="P57" s="3"/>
      <c r="Q57" s="3"/>
      <c r="R57" s="3"/>
      <c r="S57" s="3"/>
      <c r="T57" s="3"/>
      <c r="U57" s="3"/>
      <c r="V57" s="3"/>
      <c r="W57" s="3"/>
      <c r="X57" s="3"/>
      <c r="Y57" s="3"/>
      <c r="Z57" s="3"/>
      <c r="AA57" s="3"/>
      <c r="AB57" s="3"/>
      <c r="AC57" s="3"/>
      <c r="AD57" s="3"/>
    </row>
    <row r="58" spans="1:30" ht="12.95" customHeight="1" x14ac:dyDescent="0.2">
      <c r="A58" s="3"/>
      <c r="B58" s="12"/>
      <c r="C58" s="12"/>
      <c r="D58" s="13"/>
      <c r="E58" s="6"/>
      <c r="F58" s="7"/>
      <c r="G58" s="3"/>
      <c r="H58" s="3"/>
      <c r="I58" s="3"/>
      <c r="J58" s="3"/>
      <c r="K58" s="3"/>
      <c r="L58" s="3"/>
      <c r="M58" s="3"/>
      <c r="N58" s="3"/>
      <c r="O58" s="3"/>
      <c r="P58" s="3"/>
      <c r="Q58" s="3"/>
      <c r="R58" s="3"/>
      <c r="S58" s="3"/>
      <c r="T58" s="3"/>
      <c r="U58" s="3"/>
      <c r="V58" s="3"/>
      <c r="W58" s="3"/>
      <c r="X58" s="3"/>
      <c r="Y58" s="3"/>
      <c r="Z58" s="3"/>
      <c r="AA58" s="3"/>
      <c r="AB58" s="3"/>
      <c r="AC58" s="3"/>
      <c r="AD58" s="3"/>
    </row>
    <row r="59" spans="1:30" ht="12.95" customHeight="1" x14ac:dyDescent="0.2">
      <c r="A59" s="3" t="s">
        <v>145</v>
      </c>
      <c r="B59" s="6"/>
      <c r="C59" s="6"/>
      <c r="D59" s="8"/>
      <c r="E59" s="6"/>
      <c r="F59" s="7"/>
      <c r="G59" s="3"/>
      <c r="H59" s="3"/>
      <c r="I59" s="3"/>
      <c r="J59" s="3"/>
      <c r="K59" s="3"/>
      <c r="L59" s="3"/>
      <c r="M59" s="3"/>
      <c r="N59" s="3"/>
      <c r="O59" s="3"/>
      <c r="P59" s="3"/>
      <c r="Q59" s="3"/>
      <c r="R59" s="3"/>
      <c r="S59" s="3"/>
      <c r="T59" s="3"/>
      <c r="U59" s="3"/>
      <c r="V59" s="3"/>
      <c r="W59" s="3"/>
      <c r="X59" s="3"/>
      <c r="Y59" s="3"/>
      <c r="Z59" s="3"/>
      <c r="AA59" s="3"/>
      <c r="AB59" s="3"/>
      <c r="AC59" s="3"/>
      <c r="AD59" s="3"/>
    </row>
    <row r="60" spans="1:30" ht="12.95" customHeight="1" x14ac:dyDescent="0.2">
      <c r="A60" s="3"/>
      <c r="B60" s="6"/>
      <c r="C60" s="6"/>
      <c r="D60" s="8"/>
      <c r="E60" s="6"/>
      <c r="F60" s="7"/>
      <c r="G60" s="3"/>
      <c r="H60" s="3"/>
      <c r="I60" s="3"/>
      <c r="J60" s="3"/>
      <c r="K60" s="3"/>
      <c r="L60" s="3"/>
      <c r="M60" s="3"/>
      <c r="N60" s="3"/>
      <c r="O60" s="3"/>
      <c r="P60" s="3"/>
      <c r="Q60" s="3"/>
      <c r="R60" s="3"/>
      <c r="S60" s="3"/>
      <c r="T60" s="3"/>
      <c r="U60" s="3"/>
      <c r="V60" s="3"/>
      <c r="W60" s="3"/>
      <c r="X60" s="3"/>
      <c r="Y60" s="3"/>
      <c r="Z60" s="3"/>
      <c r="AA60" s="3"/>
      <c r="AB60" s="3"/>
      <c r="AC60" s="3"/>
      <c r="AD60" s="3"/>
    </row>
    <row r="61" spans="1:30" ht="12.95" customHeight="1" x14ac:dyDescent="0.2">
      <c r="A61" s="3"/>
      <c r="B61" s="6"/>
      <c r="C61" s="6"/>
      <c r="D61" s="8"/>
      <c r="E61" s="6"/>
      <c r="F61" s="7"/>
      <c r="G61" s="3"/>
      <c r="H61" s="3"/>
      <c r="I61" s="3"/>
      <c r="J61" s="3"/>
      <c r="K61" s="3"/>
      <c r="L61" s="3"/>
      <c r="M61" s="3"/>
      <c r="N61" s="3"/>
      <c r="O61" s="3"/>
      <c r="P61" s="3"/>
      <c r="Q61" s="3"/>
      <c r="R61" s="3"/>
      <c r="S61" s="3"/>
      <c r="T61" s="3"/>
      <c r="U61" s="3"/>
      <c r="V61" s="3"/>
      <c r="W61" s="3"/>
      <c r="X61" s="3"/>
      <c r="Y61" s="3"/>
      <c r="Z61" s="3"/>
      <c r="AA61" s="3"/>
      <c r="AB61" s="3"/>
      <c r="AC61" s="3"/>
      <c r="AD61" s="3"/>
    </row>
    <row r="62" spans="1:30" ht="12.95" customHeight="1" x14ac:dyDescent="0.2">
      <c r="A62" s="2"/>
      <c r="B62" s="6"/>
      <c r="C62" s="6"/>
      <c r="D62" s="8"/>
      <c r="E62" s="12"/>
      <c r="F62" s="14"/>
      <c r="G62" s="3"/>
      <c r="H62" s="3"/>
      <c r="I62" s="3"/>
      <c r="J62" s="3"/>
      <c r="K62" s="3"/>
      <c r="L62" s="3"/>
      <c r="M62" s="3"/>
      <c r="N62" s="3"/>
      <c r="O62" s="3"/>
      <c r="P62" s="3"/>
      <c r="Q62" s="3"/>
      <c r="R62" s="3"/>
      <c r="S62" s="3"/>
      <c r="T62" s="3"/>
      <c r="U62" s="3"/>
      <c r="V62" s="3"/>
      <c r="W62" s="3"/>
      <c r="X62" s="3"/>
      <c r="Y62" s="3"/>
      <c r="Z62" s="3"/>
      <c r="AA62" s="3"/>
      <c r="AB62" s="3"/>
      <c r="AC62" s="3"/>
      <c r="AD62" s="3"/>
    </row>
    <row r="63" spans="1:30" ht="12.95" customHeight="1" x14ac:dyDescent="0.2">
      <c r="A63" s="3"/>
      <c r="B63" s="6"/>
      <c r="C63" s="6"/>
      <c r="D63" s="8"/>
      <c r="E63" s="6"/>
      <c r="F63" s="7"/>
      <c r="G63" s="3"/>
      <c r="H63" s="3"/>
      <c r="I63" s="3"/>
      <c r="J63" s="3"/>
      <c r="K63" s="3"/>
      <c r="L63" s="3"/>
      <c r="M63" s="3"/>
      <c r="N63" s="3"/>
      <c r="O63" s="3"/>
      <c r="P63" s="3"/>
      <c r="Q63" s="3"/>
      <c r="R63" s="3"/>
      <c r="S63" s="3"/>
      <c r="T63" s="3"/>
      <c r="U63" s="3"/>
      <c r="V63" s="3"/>
      <c r="W63" s="3"/>
      <c r="X63" s="3"/>
      <c r="Y63" s="3"/>
      <c r="Z63" s="3"/>
      <c r="AA63" s="3"/>
      <c r="AB63" s="3"/>
      <c r="AC63" s="3"/>
      <c r="AD63" s="3"/>
    </row>
    <row r="64" spans="1:30" ht="12.95" customHeight="1" x14ac:dyDescent="0.2">
      <c r="A64" s="3"/>
      <c r="B64" s="6"/>
      <c r="C64" s="6"/>
      <c r="D64" s="8"/>
      <c r="E64" s="6"/>
      <c r="F64" s="7"/>
      <c r="G64" s="3"/>
      <c r="H64" s="3"/>
      <c r="I64" s="3"/>
      <c r="J64" s="3"/>
      <c r="K64" s="3"/>
      <c r="L64" s="3"/>
      <c r="M64" s="3"/>
      <c r="N64" s="3"/>
      <c r="O64" s="3"/>
      <c r="P64" s="3"/>
      <c r="Q64" s="3"/>
      <c r="R64" s="3"/>
      <c r="S64" s="3"/>
      <c r="T64" s="3"/>
      <c r="U64" s="3"/>
      <c r="V64" s="3"/>
      <c r="W64" s="3"/>
      <c r="X64" s="3"/>
      <c r="Y64" s="3"/>
      <c r="Z64" s="3"/>
      <c r="AA64" s="3"/>
      <c r="AB64" s="3"/>
      <c r="AC64" s="3"/>
      <c r="AD64" s="3"/>
    </row>
    <row r="65" spans="1:30" ht="12.95" customHeight="1" x14ac:dyDescent="0.2">
      <c r="A65" s="3"/>
      <c r="B65" s="6"/>
      <c r="C65" s="6"/>
      <c r="D65" s="8"/>
      <c r="E65" s="6"/>
      <c r="F65" s="7"/>
      <c r="G65" s="3"/>
      <c r="H65" s="3"/>
      <c r="I65" s="3"/>
      <c r="J65" s="3"/>
      <c r="K65" s="3"/>
      <c r="L65" s="3"/>
      <c r="M65" s="3"/>
      <c r="N65" s="3"/>
      <c r="O65" s="3"/>
      <c r="P65" s="3"/>
      <c r="Q65" s="3"/>
      <c r="R65" s="3"/>
      <c r="S65" s="3"/>
      <c r="T65" s="3"/>
      <c r="U65" s="3"/>
      <c r="V65" s="3"/>
      <c r="W65" s="3"/>
      <c r="X65" s="3"/>
      <c r="Y65" s="3"/>
      <c r="Z65" s="3"/>
      <c r="AA65" s="3"/>
      <c r="AB65" s="3"/>
      <c r="AC65" s="3"/>
      <c r="AD65" s="3"/>
    </row>
    <row r="66" spans="1:30" ht="12.95" customHeight="1" x14ac:dyDescent="0.2">
      <c r="A66" s="3"/>
      <c r="B66" s="6"/>
      <c r="C66" s="6"/>
      <c r="D66" s="8"/>
      <c r="E66" s="6"/>
      <c r="F66" s="7"/>
      <c r="G66" s="3"/>
      <c r="H66" s="3"/>
      <c r="I66" s="3"/>
      <c r="J66" s="3"/>
      <c r="K66" s="3"/>
      <c r="L66" s="3"/>
      <c r="M66" s="3"/>
      <c r="N66" s="3"/>
      <c r="O66" s="3"/>
      <c r="P66" s="3"/>
      <c r="Q66" s="3"/>
      <c r="R66" s="3"/>
      <c r="S66" s="3"/>
      <c r="T66" s="3"/>
      <c r="U66" s="3"/>
      <c r="V66" s="3"/>
      <c r="W66" s="3"/>
      <c r="X66" s="3"/>
      <c r="Y66" s="3"/>
      <c r="Z66" s="3"/>
      <c r="AA66" s="3"/>
      <c r="AB66" s="3"/>
      <c r="AC66" s="3"/>
      <c r="AD66" s="3"/>
    </row>
    <row r="67" spans="1:30" ht="12.95" customHeight="1" x14ac:dyDescent="0.2">
      <c r="A67" s="3"/>
      <c r="B67" s="6"/>
      <c r="C67" s="6"/>
      <c r="D67" s="8"/>
      <c r="E67" s="6"/>
      <c r="F67" s="7"/>
      <c r="G67" s="3"/>
      <c r="H67" s="3"/>
      <c r="I67" s="3"/>
      <c r="J67" s="3"/>
      <c r="K67" s="3"/>
      <c r="L67" s="3"/>
      <c r="M67" s="3"/>
      <c r="N67" s="3"/>
      <c r="O67" s="3"/>
      <c r="P67" s="3"/>
      <c r="Q67" s="3"/>
      <c r="R67" s="3"/>
      <c r="S67" s="3"/>
      <c r="T67" s="3"/>
      <c r="U67" s="3"/>
      <c r="V67" s="3"/>
      <c r="W67" s="3"/>
      <c r="X67" s="3"/>
      <c r="Y67" s="3"/>
      <c r="Z67" s="3"/>
      <c r="AA67" s="3"/>
      <c r="AB67" s="3"/>
      <c r="AC67" s="3"/>
      <c r="AD67" s="3"/>
    </row>
    <row r="68" spans="1:30" ht="12.95" customHeight="1" x14ac:dyDescent="0.2">
      <c r="A68" s="3"/>
      <c r="B68" s="6"/>
      <c r="C68" s="6"/>
      <c r="D68" s="8"/>
      <c r="E68" s="6"/>
      <c r="F68" s="7"/>
      <c r="G68" s="3"/>
      <c r="H68" s="3"/>
      <c r="I68" s="3"/>
      <c r="J68" s="3"/>
      <c r="K68" s="3"/>
      <c r="L68" s="3"/>
      <c r="M68" s="3"/>
      <c r="N68" s="3"/>
      <c r="O68" s="3"/>
      <c r="P68" s="3"/>
      <c r="Q68" s="3"/>
      <c r="R68" s="3"/>
      <c r="S68" s="3"/>
      <c r="T68" s="3"/>
      <c r="U68" s="3"/>
      <c r="V68" s="3"/>
      <c r="W68" s="3"/>
      <c r="X68" s="3"/>
      <c r="Y68" s="3"/>
      <c r="Z68" s="3"/>
      <c r="AA68" s="3"/>
      <c r="AB68" s="3"/>
      <c r="AC68" s="3"/>
      <c r="AD68" s="3"/>
    </row>
    <row r="69" spans="1:30" ht="12.95" customHeight="1" x14ac:dyDescent="0.2">
      <c r="A69" s="3"/>
      <c r="B69" s="6"/>
      <c r="C69" s="6"/>
      <c r="D69" s="8"/>
      <c r="E69" s="6"/>
      <c r="F69" s="7"/>
      <c r="G69" s="3"/>
      <c r="H69" s="3"/>
      <c r="I69" s="3"/>
      <c r="J69" s="3"/>
      <c r="K69" s="3"/>
      <c r="L69" s="3"/>
      <c r="M69" s="3"/>
      <c r="N69" s="3"/>
      <c r="O69" s="3"/>
      <c r="P69" s="3"/>
      <c r="Q69" s="3"/>
      <c r="R69" s="3"/>
      <c r="S69" s="3"/>
      <c r="T69" s="3"/>
      <c r="U69" s="3"/>
      <c r="V69" s="3"/>
      <c r="W69" s="3"/>
      <c r="X69" s="3"/>
      <c r="Y69" s="3"/>
      <c r="Z69" s="3"/>
      <c r="AA69" s="3"/>
      <c r="AB69" s="3"/>
      <c r="AC69" s="3"/>
      <c r="AD69" s="3"/>
    </row>
    <row r="70" spans="1:30" ht="12.95" customHeight="1" x14ac:dyDescent="0.2">
      <c r="A70" s="3"/>
      <c r="B70" s="6"/>
      <c r="C70" s="6"/>
      <c r="D70" s="8"/>
      <c r="E70" s="6"/>
      <c r="F70" s="7"/>
      <c r="G70" s="3"/>
      <c r="H70" s="3"/>
      <c r="I70" s="3"/>
      <c r="J70" s="3"/>
      <c r="K70" s="3"/>
      <c r="L70" s="3"/>
      <c r="M70" s="3"/>
      <c r="N70" s="3"/>
      <c r="O70" s="3"/>
      <c r="P70" s="3"/>
      <c r="Q70" s="3"/>
      <c r="R70" s="3"/>
      <c r="S70" s="3"/>
      <c r="T70" s="3"/>
      <c r="U70" s="3"/>
      <c r="V70" s="3"/>
      <c r="W70" s="3"/>
      <c r="X70" s="3"/>
      <c r="Y70" s="3"/>
      <c r="Z70" s="3"/>
      <c r="AA70" s="3"/>
      <c r="AB70" s="3"/>
      <c r="AC70" s="3"/>
      <c r="AD70" s="3"/>
    </row>
    <row r="71" spans="1:30" ht="12.95" customHeight="1" x14ac:dyDescent="0.2">
      <c r="A71" s="3"/>
      <c r="B71" s="6"/>
      <c r="C71" s="6"/>
      <c r="D71" s="8"/>
      <c r="E71" s="6"/>
      <c r="F71" s="7"/>
      <c r="G71" s="3"/>
      <c r="H71" s="3"/>
      <c r="I71" s="3"/>
      <c r="J71" s="3"/>
      <c r="K71" s="3"/>
      <c r="L71" s="3"/>
      <c r="M71" s="3"/>
      <c r="N71" s="3"/>
      <c r="O71" s="3"/>
      <c r="P71" s="3"/>
      <c r="Q71" s="3"/>
      <c r="R71" s="3"/>
      <c r="S71" s="3"/>
      <c r="T71" s="3"/>
      <c r="U71" s="3"/>
      <c r="V71" s="3"/>
      <c r="W71" s="3"/>
      <c r="X71" s="3"/>
      <c r="Y71" s="3"/>
      <c r="Z71" s="3"/>
      <c r="AA71" s="3"/>
      <c r="AB71" s="3"/>
      <c r="AC71" s="3"/>
      <c r="AD71" s="3"/>
    </row>
    <row r="72" spans="1:30" ht="12.95" customHeight="1" x14ac:dyDescent="0.2">
      <c r="A72" s="3"/>
      <c r="B72" s="3"/>
      <c r="C72" s="3"/>
      <c r="D72" s="3"/>
      <c r="E72" s="6"/>
      <c r="F72" s="7"/>
      <c r="G72" s="3"/>
      <c r="H72" s="3"/>
      <c r="I72" s="3"/>
      <c r="J72" s="3"/>
      <c r="K72" s="3"/>
      <c r="L72" s="3"/>
      <c r="M72" s="3"/>
      <c r="N72" s="3"/>
      <c r="O72" s="3"/>
      <c r="P72" s="3"/>
      <c r="Q72" s="3"/>
      <c r="R72" s="3"/>
      <c r="S72" s="3"/>
      <c r="T72" s="3"/>
      <c r="U72" s="3"/>
      <c r="V72" s="3"/>
      <c r="W72" s="3"/>
      <c r="X72" s="3"/>
      <c r="Y72" s="3"/>
      <c r="Z72" s="3"/>
      <c r="AA72" s="3"/>
      <c r="AB72" s="3"/>
      <c r="AC72" s="3"/>
      <c r="AD72" s="3"/>
    </row>
    <row r="73" spans="1:30" ht="12.95" customHeight="1" x14ac:dyDescent="0.2">
      <c r="A73" s="3"/>
      <c r="B73" s="3"/>
      <c r="C73" s="3"/>
      <c r="D73" s="3"/>
      <c r="E73" s="6"/>
      <c r="F73" s="7"/>
      <c r="G73" s="3"/>
      <c r="H73" s="3"/>
      <c r="I73" s="3"/>
      <c r="J73" s="3"/>
      <c r="K73" s="3"/>
      <c r="L73" s="3"/>
      <c r="M73" s="3"/>
      <c r="N73" s="3"/>
      <c r="O73" s="3"/>
      <c r="P73" s="3"/>
      <c r="Q73" s="3"/>
      <c r="R73" s="3"/>
      <c r="S73" s="3"/>
      <c r="T73" s="3"/>
      <c r="U73" s="3"/>
      <c r="V73" s="3"/>
      <c r="W73" s="3"/>
      <c r="X73" s="3"/>
      <c r="Y73" s="3"/>
      <c r="Z73" s="3"/>
      <c r="AA73" s="3"/>
      <c r="AB73" s="3"/>
      <c r="AC73" s="3"/>
      <c r="AD73" s="3"/>
    </row>
    <row r="74" spans="1:30" ht="12.95" customHeight="1" x14ac:dyDescent="0.2">
      <c r="A74" s="3"/>
      <c r="B74" s="3"/>
      <c r="C74" s="3"/>
      <c r="D74" s="3"/>
      <c r="E74" s="6"/>
      <c r="F74" s="7"/>
      <c r="G74" s="3"/>
      <c r="H74" s="3"/>
      <c r="I74" s="3"/>
      <c r="J74" s="3"/>
      <c r="K74" s="3"/>
      <c r="L74" s="3"/>
      <c r="M74" s="3"/>
      <c r="N74" s="3"/>
      <c r="O74" s="3"/>
      <c r="P74" s="3"/>
      <c r="Q74" s="3"/>
      <c r="R74" s="3"/>
      <c r="S74" s="3"/>
      <c r="T74" s="3"/>
      <c r="U74" s="3"/>
      <c r="V74" s="3"/>
      <c r="W74" s="3"/>
      <c r="X74" s="3"/>
      <c r="Y74" s="3"/>
      <c r="Z74" s="3"/>
      <c r="AA74" s="3"/>
      <c r="AB74" s="3"/>
      <c r="AC74" s="3"/>
      <c r="AD74" s="3"/>
    </row>
    <row r="75" spans="1:30" ht="12.95" customHeight="1" x14ac:dyDescent="0.2">
      <c r="A75" s="3"/>
      <c r="B75" s="3"/>
      <c r="C75" s="3"/>
      <c r="D75" s="3"/>
      <c r="E75" s="6"/>
      <c r="F75" s="7"/>
      <c r="G75" s="3"/>
      <c r="H75" s="3"/>
      <c r="I75" s="3"/>
      <c r="J75" s="3"/>
      <c r="K75" s="3"/>
      <c r="L75" s="3"/>
      <c r="M75" s="3"/>
      <c r="N75" s="3"/>
      <c r="O75" s="3"/>
      <c r="P75" s="3"/>
      <c r="Q75" s="3"/>
      <c r="R75" s="3"/>
      <c r="S75" s="3"/>
      <c r="T75" s="3"/>
      <c r="U75" s="3"/>
      <c r="V75" s="3"/>
      <c r="W75" s="3"/>
      <c r="X75" s="3"/>
      <c r="Y75" s="3"/>
      <c r="Z75" s="3"/>
      <c r="AA75" s="3"/>
      <c r="AB75" s="3"/>
      <c r="AC75" s="3"/>
      <c r="AD75" s="3"/>
    </row>
    <row r="76" spans="1:30" ht="12.9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spans="1:30" ht="12.9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spans="1:30" ht="12.9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spans="1:30" ht="12.9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spans="1:30" ht="12.9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ht="12.9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spans="1:30" ht="12.95" customHeight="1" x14ac:dyDescent="0.2">
      <c r="A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spans="1:30" ht="12.95" customHeight="1" x14ac:dyDescent="0.2">
      <c r="A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1:30" ht="12.95" customHeight="1" x14ac:dyDescent="0.2">
      <c r="A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ht="12.95" customHeight="1" x14ac:dyDescent="0.2">
      <c r="A85" s="3"/>
      <c r="E85" s="3"/>
      <c r="F85" s="3"/>
      <c r="J85" s="3"/>
      <c r="K85" s="3"/>
      <c r="L85" s="3"/>
      <c r="M85" s="3"/>
      <c r="N85" s="3"/>
      <c r="O85" s="3"/>
      <c r="P85" s="3"/>
      <c r="Q85" s="3"/>
      <c r="R85" s="3"/>
      <c r="S85" s="3"/>
      <c r="T85" s="3"/>
      <c r="U85" s="3"/>
      <c r="V85" s="3"/>
      <c r="W85" s="3"/>
      <c r="X85" s="3"/>
      <c r="Y85" s="3"/>
      <c r="Z85" s="3"/>
      <c r="AA85" s="3"/>
      <c r="AB85" s="3"/>
      <c r="AC85" s="3"/>
      <c r="AD85" s="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862F1AD786FC48BAD4CC842D922D96" ma:contentTypeVersion="13" ma:contentTypeDescription="Create a new document." ma:contentTypeScope="" ma:versionID="0b2eec92e01cdb62b3189bd254191994">
  <xsd:schema xmlns:xsd="http://www.w3.org/2001/XMLSchema" xmlns:xs="http://www.w3.org/2001/XMLSchema" xmlns:p="http://schemas.microsoft.com/office/2006/metadata/properties" xmlns:ns3="2a385fde-0881-4398-833e-9cb951431347" xmlns:ns4="28ef8118-0a7a-4fb6-aef2-ec0633c5f14e" targetNamespace="http://schemas.microsoft.com/office/2006/metadata/properties" ma:root="true" ma:fieldsID="c6229acb5a95a5ed3fcd5175969f5ebc" ns3:_="" ns4:_="">
    <xsd:import namespace="2a385fde-0881-4398-833e-9cb951431347"/>
    <xsd:import namespace="28ef8118-0a7a-4fb6-aef2-ec0633c5f14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385fde-0881-4398-833e-9cb951431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ef8118-0a7a-4fb6-aef2-ec0633c5f14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ADAC41-04A6-4547-94B3-4EAEB48CEF0E}">
  <ds:schemaRefs>
    <ds:schemaRef ds:uri="http://schemas.microsoft.com/sharepoint/v3/contenttype/forms"/>
  </ds:schemaRefs>
</ds:datastoreItem>
</file>

<file path=customXml/itemProps2.xml><?xml version="1.0" encoding="utf-8"?>
<ds:datastoreItem xmlns:ds="http://schemas.openxmlformats.org/officeDocument/2006/customXml" ds:itemID="{CF9EF1E6-8B07-4E6D-8632-34D8A1F5FC1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8DE1137-BEF1-422B-AACE-641EE45E40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385fde-0881-4398-833e-9cb951431347"/>
    <ds:schemaRef ds:uri="28ef8118-0a7a-4fb6-aef2-ec0633c5f1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vt:i4>
      </vt:variant>
    </vt:vector>
  </HeadingPairs>
  <TitlesOfParts>
    <vt:vector size="25" baseType="lpstr">
      <vt:lpstr>wheat2024</vt:lpstr>
      <vt:lpstr>wheat2023</vt:lpstr>
      <vt:lpstr>wheat2022</vt:lpstr>
      <vt:lpstr>wheat2021</vt:lpstr>
      <vt:lpstr>wheat2020</vt:lpstr>
      <vt:lpstr>wheat2019</vt:lpstr>
      <vt:lpstr>wheat2018</vt:lpstr>
      <vt:lpstr>wheat2017</vt:lpstr>
      <vt:lpstr>wheat2016</vt:lpstr>
      <vt:lpstr>wheat2015</vt:lpstr>
      <vt:lpstr>wheat2014</vt:lpstr>
      <vt:lpstr>wheat2013</vt:lpstr>
      <vt:lpstr>wheat2012</vt:lpstr>
      <vt:lpstr>wheat2011</vt:lpstr>
      <vt:lpstr>wheat2010</vt:lpstr>
      <vt:lpstr>wheat2009</vt:lpstr>
      <vt:lpstr>wheat2008</vt:lpstr>
      <vt:lpstr>wheat2007</vt:lpstr>
      <vt:lpstr>wheat2006</vt:lpstr>
      <vt:lpstr>wheat2005</vt:lpstr>
      <vt:lpstr>wheat2004</vt:lpstr>
      <vt:lpstr>wheat2016!Print_Area</vt:lpstr>
      <vt:lpstr>T</vt:lpstr>
      <vt:lpstr>W</vt:lpstr>
      <vt:lpstr>X</vt:lpstr>
    </vt:vector>
  </TitlesOfParts>
  <Company>OMAFRA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name}</dc:creator>
  <cp:lastModifiedBy>Duff, Stephen (OMAFA)</cp:lastModifiedBy>
  <cp:lastPrinted>2006-03-13T15:19:02Z</cp:lastPrinted>
  <dcterms:created xsi:type="dcterms:W3CDTF">1997-08-19T18:33:38Z</dcterms:created>
  <dcterms:modified xsi:type="dcterms:W3CDTF">2025-02-28T21:29:50Z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0x010100CF862F1AD786FC48BAD4CC842D922D96</vt:lpwstr>
  </property>
  <property fmtid="{D5CDD505-2E9C-101B-9397-08002B2CF9AE}" pid="3" name="MSIP_Label_034a106e-6316-442c-ad35-738afd673d2b_Enabled">
    <vt:lpwstr>true</vt:lpwstr>
  </property>
  <property fmtid="{D5CDD505-2E9C-101B-9397-08002B2CF9AE}" pid="4" name="MSIP_Label_034a106e-6316-442c-ad35-738afd673d2b_SetDate">
    <vt:lpwstr>2022-03-10T13:24:05Z</vt:lpwstr>
  </property>
  <property fmtid="{D5CDD505-2E9C-101B-9397-08002B2CF9AE}" pid="5" name="MSIP_Label_034a106e-6316-442c-ad35-738afd673d2b_Method">
    <vt:lpwstr>Standard</vt:lpwstr>
  </property>
  <property fmtid="{D5CDD505-2E9C-101B-9397-08002B2CF9AE}" pid="6" name="MSIP_Label_034a106e-6316-442c-ad35-738afd673d2b_Name">
    <vt:lpwstr>034a106e-6316-442c-ad35-738afd673d2b</vt:lpwstr>
  </property>
  <property fmtid="{D5CDD505-2E9C-101B-9397-08002B2CF9AE}" pid="7" name="MSIP_Label_034a106e-6316-442c-ad35-738afd673d2b_SiteId">
    <vt:lpwstr>cddc1229-ac2a-4b97-b78a-0e5cacb5865c</vt:lpwstr>
  </property>
  <property fmtid="{D5CDD505-2E9C-101B-9397-08002B2CF9AE}" pid="8" name="MSIP_Label_034a106e-6316-442c-ad35-738afd673d2b_ContentBits">
    <vt:lpwstr>0</vt:lpwstr>
  </property>
</Properties>
</file>